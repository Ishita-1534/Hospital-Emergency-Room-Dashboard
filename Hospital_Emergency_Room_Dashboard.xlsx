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ELL\Desktop\Hospital emergency room analysis project\"/>
    </mc:Choice>
  </mc:AlternateContent>
  <xr:revisionPtr revIDLastSave="0" documentId="13_ncr:1_{AB5A4ACA-170C-4ED8-81A6-D9FD5123A403}" xr6:coauthVersionLast="47" xr6:coauthVersionMax="47" xr10:uidLastSave="{00000000-0000-0000-0000-000000000000}"/>
  <bookViews>
    <workbookView xWindow="4212" yWindow="3360" windowWidth="17280" windowHeight="8880" firstSheet="1" activeTab="1" xr2:uid="{07DB01A6-1248-4E24-833D-8DDE5FC6C004}"/>
  </bookViews>
  <sheets>
    <sheet name="Pivot Report" sheetId="1" r:id="rId1"/>
    <sheet name="Dashboard" sheetId="2" r:id="rId2"/>
    <sheet name="Daily_ER No of Patient" sheetId="3" r:id="rId3"/>
    <sheet name="Average wait time daily trend" sheetId="4" r:id="rId4"/>
    <sheet name="Average Satisfaction Score"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7d300e5-711f-4791-a2d9-0adc5db59b27" name="Hospital Emergency Room Data" connection="Query - Hospital Emergency Room Data"/>
          <x15:modelTable id="Calender_Table_19ff2559-d324-4719-a9e4-70bd027fdcc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9" i="1" l="1"/>
  <c r="B49" i="1"/>
  <c r="A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4028F-3F4B-4262-90C0-AB85BF1EF05C}" name="Query - Calender_Table" description="Connection to the 'Calender_Table' query in the workbook." type="100" refreshedVersion="8" minRefreshableVersion="5">
    <extLst>
      <ext xmlns:x15="http://schemas.microsoft.com/office/spreadsheetml/2010/11/main" uri="{DE250136-89BD-433C-8126-D09CA5730AF9}">
        <x15:connection id="d1670edf-6a35-4b19-b4d8-b67e18b49d3e"/>
      </ext>
    </extLst>
  </connection>
  <connection id="2" xr16:uid="{7AF7E970-82F5-4992-A5A0-42C29631226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5564379-ddfb-4905-b3eb-1ab16b4e1a07"/>
      </ext>
    </extLst>
  </connection>
  <connection id="3" xr16:uid="{F60C6118-EB53-4C62-83FE-B54B6D837F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<sst xmlns="http://schemas.openxmlformats.org/spreadsheetml/2006/main" count="155" uniqueCount="74">
  <si>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Row Labels</t>
  </si>
  <si>
    <t>Grand Total</t>
  </si>
  <si>
    <t>No. of patient</t>
  </si>
  <si>
    <t>Distinct Count of Patient Id</t>
  </si>
  <si>
    <t>Average of Patient Waittime</t>
  </si>
  <si>
    <t>Average of Patient Satisfaction Score</t>
  </si>
  <si>
    <t>2023</t>
  </si>
  <si>
    <t>Sep</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</si>
  <si>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</si>
  <si>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</si>
  <si>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</si>
  <si>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</si>
  <si>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</si>
  <si>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</si>
  <si>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</si>
  <si>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</si>
  <si>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</si>
  <si>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</si>
  <si>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</si>
  <si>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</si>
  <si>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</si>
  <si>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</si>
  <si>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</si>
  <si>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</si>
  <si>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</si>
  <si>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</si>
  <si>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</si>
  <si>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</si>
  <si>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</si>
  <si>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</si>
  <si>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</si>
  <si>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</si>
  <si>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</si>
  <si>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</si>
  <si>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</si>
  <si>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</si>
  <si>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</si>
  <si>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</si>
  <si>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satisfaction score daily trend</t>
  </si>
  <si>
    <t>Admitted</t>
  </si>
  <si>
    <t>Not Admitted</t>
  </si>
  <si>
    <t>Count of Patient Satisfaction Score</t>
  </si>
  <si>
    <t>Count of Patient Admission Flag</t>
  </si>
  <si>
    <t xml:space="preserve">   %Status</t>
  </si>
  <si>
    <t xml:space="preserve">   No. of Patient</t>
  </si>
  <si>
    <t xml:space="preserve">                Chart</t>
  </si>
  <si>
    <t xml:space="preserve">  Admission Status </t>
  </si>
  <si>
    <t>0-9</t>
  </si>
  <si>
    <t>10-19</t>
  </si>
  <si>
    <t>20-29</t>
  </si>
  <si>
    <t>30-39</t>
  </si>
  <si>
    <t>40-49</t>
  </si>
  <si>
    <t>50-59</t>
  </si>
  <si>
    <t>60-69</t>
  </si>
  <si>
    <t>70-79</t>
  </si>
  <si>
    <t>Count of Age Group</t>
  </si>
  <si>
    <t>age group wise analysis</t>
  </si>
  <si>
    <t>Ontime</t>
  </si>
  <si>
    <t>Delay</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</si>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</sst>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2"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Alignment="1">
      <alignment horizontal="left" indent="1"/>
    </xf>
    <xf numFmtId="0" fontId="0" fillId="3" borderId="0" xfId="0" applyFill="1"/>
    <xf numFmtId="0" fontId="0" fillId="4" borderId="0" xfId="0" applyFill="1"/>
    <xf numFmtId="10" fontId="0" fillId="0" borderId="0" xfId="0" applyNumberFormat="1"/>
    <xf numFmtId="1" fontId="0" fillId="0" borderId="0" xfId="0" applyNumberFormat="1"/>
    <xf numFmtId="9" fontId="0" fillId="0" borderId="0" xfId="1" applyFont="1"/>
    <xf numFmtId="9" fontId="0" fillId="4" borderId="0" xfId="1" applyFont="1" applyFill="1"/>
    <xf numFmtId="1" fontId="0" fillId="4" borderId="0" xfId="0" applyNumberFormat="1" applyFill="1"/>
    <xf numFmtId="0" fontId="0" fillId="5" borderId="0" xfId="0" applyFill="1"/>
    <xf numFmtId="0" fontId="0" fillId="6" borderId="0" xfId="0" applyFill="1"/>
  </cellXfs>
  <cellStyles count="2">
    <cellStyle name="Normal" xfId="0" builtinId="0"/>
    <cellStyle name="Percent" xfId="1" builtinId="5"/>
  </cellStyles>
  <dxfs count="20">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sz val="8"/>
        <color theme="5"/>
      </font>
      <fill>
        <patternFill>
          <bgColor theme="0"/>
        </patternFill>
      </fill>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BB15CF86-A232-4619-8FE3-A1E560332966}">
      <tableStyleElement type="wholeTable" dxfId="19"/>
      <tableStyleElement type="headerRow" dxfId="18"/>
    </tableStyle>
    <tableStyle name="My Style " pivot="0" table="0" count="10" xr9:uid="{3E30703B-BEED-459C-85ED-63566489B5E2}">
      <tableStyleElement type="wholeTable" dxfId="17"/>
      <tableStyleElement type="headerRow" dxfId="1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6.2166344039294698E-2"/>
          <c:y val="0"/>
          <c:w val="0.66188848944547607"/>
          <c:h val="0.98813008677186964"/>
        </c:manualLayout>
      </c:layout>
      <c:barChart>
        <c:barDir val="bar"/>
        <c:grouping val="clustered"/>
        <c:varyColors val="0"/>
        <c:ser>
          <c:idx val="0"/>
          <c:order val="0"/>
          <c:tx>
            <c:strRef>
              <c:f>'Pivot Report'!$B$39</c:f>
              <c:strCache>
                <c:ptCount val="1"/>
                <c:pt idx="0">
                  <c:v>Count of Patient Satisfaction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Report'!$B$40:$B$42</c:f>
              <c:numCache>
                <c:formatCode>0</c:formatCode>
                <c:ptCount val="2"/>
                <c:pt idx="0">
                  <c:v>72</c:v>
                </c:pt>
                <c:pt idx="1">
                  <c:v>51</c:v>
                </c:pt>
              </c:numCache>
            </c:numRef>
          </c:val>
          <c:extLst>
            <c:ext xmlns:c16="http://schemas.microsoft.com/office/drawing/2014/chart" uri="{C3380CC4-5D6E-409C-BE32-E72D297353CC}">
              <c16:uniqueId val="{00000007-84C2-4D66-B317-EFACC1C935CB}"/>
            </c:ext>
          </c:extLst>
        </c:ser>
        <c:ser>
          <c:idx val="1"/>
          <c:order val="1"/>
          <c:tx>
            <c:strRef>
              <c:f>'Pivot Report'!$C$39</c:f>
              <c:strCache>
                <c:ptCount val="1"/>
                <c:pt idx="0">
                  <c:v>Count of Patient Admission Flag</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0.53091684434968012</c:v>
                </c:pt>
                <c:pt idx="1">
                  <c:v>0.46908315565031983</c:v>
                </c:pt>
              </c:numCache>
            </c:numRef>
          </c:val>
          <c:extLst>
            <c:ext xmlns:c16="http://schemas.microsoft.com/office/drawing/2014/chart" uri="{C3380CC4-5D6E-409C-BE32-E72D297353CC}">
              <c16:uniqueId val="{00000008-84C2-4D66-B317-EFACC1C935CB}"/>
            </c:ext>
          </c:extLst>
        </c:ser>
        <c:dLbls>
          <c:showLegendKey val="0"/>
          <c:showVal val="0"/>
          <c:showCatName val="0"/>
          <c:showSerName val="0"/>
          <c:showPercent val="0"/>
          <c:showBubbleSize val="0"/>
        </c:dLbls>
        <c:gapWidth val="79"/>
        <c:axId val="940693839"/>
        <c:axId val="940694799"/>
      </c:barChart>
      <c:catAx>
        <c:axId val="940693839"/>
        <c:scaling>
          <c:orientation val="minMax"/>
        </c:scaling>
        <c:delete val="1"/>
        <c:axPos val="l"/>
        <c:numFmt formatCode="General" sourceLinked="1"/>
        <c:majorTickMark val="none"/>
        <c:minorTickMark val="none"/>
        <c:tickLblPos val="nextTo"/>
        <c:crossAx val="940694799"/>
        <c:crosses val="autoZero"/>
        <c:auto val="1"/>
        <c:lblAlgn val="ctr"/>
        <c:lblOffset val="100"/>
        <c:noMultiLvlLbl val="0"/>
      </c:catAx>
      <c:valAx>
        <c:axId val="940694799"/>
        <c:scaling>
          <c:orientation val="minMax"/>
        </c:scaling>
        <c:delete val="1"/>
        <c:axPos val="b"/>
        <c:numFmt formatCode="0" sourceLinked="1"/>
        <c:majorTickMark val="none"/>
        <c:minorTickMark val="none"/>
        <c:tickLblPos val="nextTo"/>
        <c:crossAx val="94069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65597156107388E-2"/>
          <c:y val="0.38018041661291829"/>
          <c:w val="0.96290320853167777"/>
          <c:h val="0.58897617130681945"/>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multiLvlStrRef>
              <c:f>'Pivot Report'!$C$5:$C$36</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Report'!$D$5:$D$36</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4-3284-4FE0-AEC7-34A59E4F9650}"/>
            </c:ext>
          </c:extLst>
        </c:ser>
        <c:dLbls>
          <c:showLegendKey val="0"/>
          <c:showVal val="0"/>
          <c:showCatName val="0"/>
          <c:showSerName val="0"/>
          <c:showPercent val="0"/>
          <c:showBubbleSize val="0"/>
        </c:dLbls>
        <c:axId val="940678959"/>
        <c:axId val="940689519"/>
      </c:areaChart>
      <c:catAx>
        <c:axId val="940678959"/>
        <c:scaling>
          <c:orientation val="minMax"/>
        </c:scaling>
        <c:delete val="1"/>
        <c:axPos val="b"/>
        <c:numFmt formatCode="General" sourceLinked="1"/>
        <c:majorTickMark val="out"/>
        <c:minorTickMark val="none"/>
        <c:tickLblPos val="nextTo"/>
        <c:crossAx val="940689519"/>
        <c:crosses val="autoZero"/>
        <c:auto val="1"/>
        <c:lblAlgn val="ctr"/>
        <c:lblOffset val="100"/>
        <c:noMultiLvlLbl val="0"/>
      </c:catAx>
      <c:valAx>
        <c:axId val="940689519"/>
        <c:scaling>
          <c:orientation val="minMax"/>
        </c:scaling>
        <c:delete val="1"/>
        <c:axPos val="l"/>
        <c:numFmt formatCode="General" sourceLinked="1"/>
        <c:majorTickMark val="none"/>
        <c:minorTickMark val="none"/>
        <c:tickLblPos val="nextTo"/>
        <c:crossAx val="94067895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multiLvlStrRef>
              <c:f>'Pivot Report'!$I$6:$I$37</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Report'!$J$6:$J$37</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3-4563-48B3-AE6F-135BDE09D100}"/>
            </c:ext>
          </c:extLst>
        </c:ser>
        <c:dLbls>
          <c:showLegendKey val="0"/>
          <c:showVal val="0"/>
          <c:showCatName val="0"/>
          <c:showSerName val="0"/>
          <c:showPercent val="0"/>
          <c:showBubbleSize val="0"/>
        </c:dLbls>
        <c:axId val="2132514175"/>
        <c:axId val="2132514655"/>
      </c:areaChart>
      <c:catAx>
        <c:axId val="2132514175"/>
        <c:scaling>
          <c:orientation val="minMax"/>
        </c:scaling>
        <c:delete val="1"/>
        <c:axPos val="b"/>
        <c:numFmt formatCode="General" sourceLinked="1"/>
        <c:majorTickMark val="out"/>
        <c:minorTickMark val="none"/>
        <c:tickLblPos val="nextTo"/>
        <c:crossAx val="2132514655"/>
        <c:crosses val="autoZero"/>
        <c:auto val="1"/>
        <c:lblAlgn val="ctr"/>
        <c:lblOffset val="100"/>
        <c:noMultiLvlLbl val="0"/>
      </c:catAx>
      <c:valAx>
        <c:axId val="2132514655"/>
        <c:scaling>
          <c:orientation val="minMax"/>
        </c:scaling>
        <c:delete val="1"/>
        <c:axPos val="l"/>
        <c:numFmt formatCode="0.00" sourceLinked="1"/>
        <c:majorTickMark val="none"/>
        <c:minorTickMark val="none"/>
        <c:tickLblPos val="nextTo"/>
        <c:crossAx val="21325141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Report'!$N$5</c:f>
              <c:strCache>
                <c:ptCount val="1"/>
                <c:pt idx="0">
                  <c:v>Total</c:v>
                </c:pt>
              </c:strCache>
            </c:strRef>
          </c:tx>
          <c:spPr>
            <a:solidFill>
              <a:schemeClr val="accent1"/>
            </a:solidFill>
            <a:ln w="25400">
              <a:noFill/>
            </a:ln>
            <a:effectLst/>
          </c:spPr>
          <c:cat>
            <c:multiLvlStrRef>
              <c:f>'Pivot Report'!$M$6:$M$37</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Report'!$N$6:$N$37</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3-4A06-42B6-B02A-6152FAFDD7C2}"/>
            </c:ext>
          </c:extLst>
        </c:ser>
        <c:dLbls>
          <c:showLegendKey val="0"/>
          <c:showVal val="0"/>
          <c:showCatName val="0"/>
          <c:showSerName val="0"/>
          <c:showPercent val="0"/>
          <c:showBubbleSize val="0"/>
        </c:dLbls>
        <c:axId val="400145023"/>
        <c:axId val="400146943"/>
      </c:areaChart>
      <c:catAx>
        <c:axId val="400145023"/>
        <c:scaling>
          <c:orientation val="minMax"/>
        </c:scaling>
        <c:delete val="1"/>
        <c:axPos val="b"/>
        <c:numFmt formatCode="General" sourceLinked="1"/>
        <c:majorTickMark val="out"/>
        <c:minorTickMark val="none"/>
        <c:tickLblPos val="nextTo"/>
        <c:crossAx val="400146943"/>
        <c:crosses val="autoZero"/>
        <c:auto val="1"/>
        <c:lblAlgn val="ctr"/>
        <c:lblOffset val="100"/>
        <c:noMultiLvlLbl val="0"/>
      </c:catAx>
      <c:valAx>
        <c:axId val="400146943"/>
        <c:scaling>
          <c:orientation val="minMax"/>
        </c:scaling>
        <c:delete val="1"/>
        <c:axPos val="l"/>
        <c:numFmt formatCode="0.00" sourceLinked="1"/>
        <c:majorTickMark val="none"/>
        <c:minorTickMark val="none"/>
        <c:tickLblPos val="nextTo"/>
        <c:crossAx val="40014502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845549301397089E-2"/>
          <c:y val="0"/>
          <c:w val="0.98512668835246842"/>
          <c:h val="0.79183109243849525"/>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0.00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3-0516-4192-B240-2568C21980EB}"/>
            </c:ext>
          </c:extLst>
        </c:ser>
        <c:dLbls>
          <c:showLegendKey val="0"/>
          <c:showVal val="0"/>
          <c:showCatName val="0"/>
          <c:showSerName val="0"/>
          <c:showPercent val="0"/>
          <c:showBubbleSize val="0"/>
        </c:dLbls>
        <c:gapWidth val="219"/>
        <c:overlap val="-27"/>
        <c:axId val="191468896"/>
        <c:axId val="191455456"/>
      </c:barChart>
      <c:catAx>
        <c:axId val="19146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5456"/>
        <c:crosses val="autoZero"/>
        <c:auto val="1"/>
        <c:lblAlgn val="ctr"/>
        <c:lblOffset val="100"/>
        <c:noMultiLvlLbl val="0"/>
      </c:catAx>
      <c:valAx>
        <c:axId val="191455456"/>
        <c:scaling>
          <c:orientation val="minMax"/>
        </c:scaling>
        <c:delete val="1"/>
        <c:axPos val="l"/>
        <c:numFmt formatCode="0.00" sourceLinked="1"/>
        <c:majorTickMark val="none"/>
        <c:minorTickMark val="none"/>
        <c:tickLblPos val="nextTo"/>
        <c:crossAx val="191468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7913711408837"/>
          <c:y val="0.11817880350248317"/>
          <c:w val="0.62406605095573442"/>
          <c:h val="0.8815274805965907"/>
        </c:manualLayout>
      </c:layout>
      <c:pieChart>
        <c:varyColors val="1"/>
        <c:ser>
          <c:idx val="0"/>
          <c:order val="0"/>
          <c:tx>
            <c:strRef>
              <c:f>'Pivot Report'!$B$64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3A-45D6-90F2-B5CDFE0068B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3A-45D6-90F2-B5CDFE0068B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c:formatCode>
                <c:ptCount val="2"/>
                <c:pt idx="0">
                  <c:v>257</c:v>
                </c:pt>
                <c:pt idx="1">
                  <c:v>212</c:v>
                </c:pt>
              </c:numCache>
            </c:numRef>
          </c:val>
          <c:extLst>
            <c:ext xmlns:c16="http://schemas.microsoft.com/office/drawing/2014/chart" uri="{C3380CC4-5D6E-409C-BE32-E72D297353CC}">
              <c16:uniqueId val="{00000007-6BE1-4E9A-A79C-9CB6F3521E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819279916692892"/>
          <c:y val="1.9096675415573052E-2"/>
          <c:w val="0.74649463428212737"/>
          <c:h val="5.902887139107611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48161457376789"/>
          <c:y val="0.18448162209762139"/>
          <c:w val="0.43118650238347156"/>
          <c:h val="0.57589906896678977"/>
        </c:manualLayout>
      </c:layout>
      <c:doughnutChart>
        <c:varyColors val="1"/>
        <c:ser>
          <c:idx val="0"/>
          <c:order val="0"/>
          <c:tx>
            <c:strRef>
              <c:f>'Pivot Report'!$B$71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35-4347-9C7D-D8F4E200AB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35-4347-9C7D-D8F4E200AB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0.00</c:formatCode>
                <c:ptCount val="2"/>
                <c:pt idx="0">
                  <c:v>219</c:v>
                </c:pt>
                <c:pt idx="1">
                  <c:v>250</c:v>
                </c:pt>
              </c:numCache>
            </c:numRef>
          </c:val>
          <c:extLst>
            <c:ext xmlns:c16="http://schemas.microsoft.com/office/drawing/2014/chart" uri="{C3380CC4-5D6E-409C-BE32-E72D297353CC}">
              <c16:uniqueId val="{00000007-6FF7-493C-8E31-703D1E311B0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6.0305433253315423E-2"/>
          <c:y val="4.1672545772000698E-2"/>
          <c:w val="0.58879684392500531"/>
          <c:h val="8.95997360372152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3420731768424"/>
          <c:y val="9.3407203253271925E-2"/>
          <c:w val="0.63047882628433605"/>
          <c:h val="0.74161575071442809"/>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cat>
            <c:strRef>
              <c:f>'Pivot Report'!$A$78:$A$86</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Report'!$B$78:$B$86</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3-FD96-418F-ADCB-CB2B9693FD65}"/>
            </c:ext>
          </c:extLst>
        </c:ser>
        <c:dLbls>
          <c:showLegendKey val="0"/>
          <c:showVal val="0"/>
          <c:showCatName val="0"/>
          <c:showSerName val="0"/>
          <c:showPercent val="0"/>
          <c:showBubbleSize val="0"/>
        </c:dLbls>
        <c:gapWidth val="182"/>
        <c:axId val="191454976"/>
        <c:axId val="191455456"/>
      </c:barChart>
      <c:catAx>
        <c:axId val="19145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1455456"/>
        <c:crosses val="autoZero"/>
        <c:auto val="1"/>
        <c:lblAlgn val="ctr"/>
        <c:lblOffset val="100"/>
        <c:noMultiLvlLbl val="0"/>
      </c:catAx>
      <c:valAx>
        <c:axId val="1914554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145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45292620865138E-2"/>
          <c:y val="4.7867711053089644E-2"/>
          <c:w val="0.95335029686174722"/>
          <c:h val="0.79091164518273338"/>
        </c:manualLayout>
      </c:layout>
      <c:areaChart>
        <c:grouping val="standard"/>
        <c:varyColors val="0"/>
        <c:ser>
          <c:idx val="0"/>
          <c:order val="0"/>
          <c:tx>
            <c:strRef>
              <c:f>'Pivot Report'!$D$4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Report'!$C$5:$C$36</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Report'!$D$5:$D$36</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3-F8F7-48B4-86A4-D28BF46E5703}"/>
            </c:ext>
          </c:extLst>
        </c:ser>
        <c:dLbls>
          <c:showLegendKey val="0"/>
          <c:showVal val="0"/>
          <c:showCatName val="0"/>
          <c:showSerName val="0"/>
          <c:showPercent val="0"/>
          <c:showBubbleSize val="0"/>
        </c:dLbls>
        <c:axId val="940678959"/>
        <c:axId val="940689519"/>
      </c:areaChart>
      <c:catAx>
        <c:axId val="940678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0689519"/>
        <c:crosses val="autoZero"/>
        <c:auto val="1"/>
        <c:lblAlgn val="ctr"/>
        <c:lblOffset val="100"/>
        <c:noMultiLvlLbl val="0"/>
      </c:catAx>
      <c:valAx>
        <c:axId val="9406895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0678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Report'!$J$5</c:f>
              <c:strCache>
                <c:ptCount val="1"/>
                <c:pt idx="0">
                  <c:v>Total</c:v>
                </c:pt>
              </c:strCache>
            </c:strRef>
          </c:tx>
          <c:spPr>
            <a:solidFill>
              <a:schemeClr val="accent1">
                <a:alpha val="85000"/>
              </a:schemeClr>
            </a:solidFill>
            <a:ln w="25400">
              <a:noFill/>
            </a:ln>
            <a:effectLst>
              <a:innerShdw dist="12700" dir="16200000">
                <a:schemeClr val="lt1"/>
              </a:innerShdw>
            </a:effectLst>
          </c:spPr>
          <c:cat>
            <c:multiLvlStrRef>
              <c:f>'Pivot Report'!$I$6:$I$37</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Report'!$J$6:$J$37</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2-3500-4AA8-B28A-290FA4EED0A7}"/>
            </c:ext>
          </c:extLst>
        </c:ser>
        <c:dLbls>
          <c:showLegendKey val="0"/>
          <c:showVal val="0"/>
          <c:showCatName val="0"/>
          <c:showSerName val="0"/>
          <c:showPercent val="0"/>
          <c:showBubbleSize val="0"/>
        </c:dLbls>
        <c:axId val="2132514175"/>
        <c:axId val="2132514655"/>
      </c:areaChart>
      <c:catAx>
        <c:axId val="2132514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514655"/>
        <c:crosses val="autoZero"/>
        <c:auto val="1"/>
        <c:lblAlgn val="ctr"/>
        <c:lblOffset val="100"/>
        <c:noMultiLvlLbl val="0"/>
      </c:catAx>
      <c:valAx>
        <c:axId val="2132514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2514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2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Report'!$N$5</c:f>
              <c:strCache>
                <c:ptCount val="1"/>
                <c:pt idx="0">
                  <c:v>Total</c:v>
                </c:pt>
              </c:strCache>
            </c:strRef>
          </c:tx>
          <c:spPr>
            <a:pattFill prst="ltUpDiag">
              <a:fgClr>
                <a:schemeClr val="accent1"/>
              </a:fgClr>
              <a:bgClr>
                <a:schemeClr val="accent1">
                  <a:lumMod val="20000"/>
                  <a:lumOff val="80000"/>
                </a:schemeClr>
              </a:bgClr>
            </a:pattFill>
            <a:ln w="25400">
              <a:noFill/>
            </a:ln>
            <a:effectLst>
              <a:innerShdw blurRad="114300">
                <a:schemeClr val="accent1"/>
              </a:innerShdw>
            </a:effectLst>
          </c:spPr>
          <c:cat>
            <c:multiLvlStrRef>
              <c:f>'Pivot Report'!$M$6:$M$37</c:f>
              <c:multiLvlStrCache>
                <c:ptCount val="30"/>
                <c:lvl>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Sep</c:v>
                  </c:pt>
                </c:lvl>
              </c:multiLvlStrCache>
            </c:multiLvlStrRef>
          </c:cat>
          <c:val>
            <c:numRef>
              <c:f>'Pivot Report'!$N$6:$N$37</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2-0DB8-4034-A08D-B41374366319}"/>
            </c:ext>
          </c:extLst>
        </c:ser>
        <c:dLbls>
          <c:showLegendKey val="0"/>
          <c:showVal val="0"/>
          <c:showCatName val="0"/>
          <c:showSerName val="0"/>
          <c:showPercent val="0"/>
          <c:showBubbleSize val="0"/>
        </c:dLbls>
        <c:axId val="400145023"/>
        <c:axId val="400146943"/>
      </c:areaChart>
      <c:catAx>
        <c:axId val="400145023"/>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400146943"/>
        <c:crosses val="autoZero"/>
        <c:auto val="1"/>
        <c:lblAlgn val="ctr"/>
        <c:lblOffset val="100"/>
        <c:noMultiLvlLbl val="0"/>
      </c:catAx>
      <c:valAx>
        <c:axId val="400146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45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image" Target="../media/image9.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Average wait time daily trend'!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_ER No of Patient'!A1"/><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22</xdr:col>
      <xdr:colOff>595270</xdr:colOff>
      <xdr:row>1</xdr:row>
      <xdr:rowOff>148420</xdr:rowOff>
    </xdr:from>
    <xdr:to>
      <xdr:col>25</xdr:col>
      <xdr:colOff>595269</xdr:colOff>
      <xdr:row>15</xdr:row>
      <xdr:rowOff>169375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83D8668D-185C-4816-07B6-9589C35F75C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206859" y="331091"/>
              <a:ext cx="1831931" cy="2578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15657</xdr:colOff>
      <xdr:row>46</xdr:row>
      <xdr:rowOff>156574</xdr:rowOff>
    </xdr:from>
    <xdr:to>
      <xdr:col>3</xdr:col>
      <xdr:colOff>1450932</xdr:colOff>
      <xdr:row>48</xdr:row>
      <xdr:rowOff>167011</xdr:rowOff>
    </xdr:to>
    <xdr:graphicFrame macro="">
      <xdr:nvGraphicFramePr>
        <xdr:cNvPr id="7" name="Chart 6">
          <a:extLst>
            <a:ext uri="{FF2B5EF4-FFF2-40B4-BE49-F238E27FC236}">
              <a16:creationId xmlns:a16="http://schemas.microsoft.com/office/drawing/2014/main" id="{DF47EA09-CDCB-C4ED-2668-DA9DBB4C9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79340</xdr:colOff>
      <xdr:row>0</xdr:row>
      <xdr:rowOff>60641</xdr:rowOff>
    </xdr:from>
    <xdr:to>
      <xdr:col>5</xdr:col>
      <xdr:colOff>192552</xdr:colOff>
      <xdr:row>3</xdr:row>
      <xdr:rowOff>60640</xdr:rowOff>
    </xdr:to>
    <xdr:sp macro="" textlink="">
      <xdr:nvSpPr>
        <xdr:cNvPr id="2" name="Rectangle: Rounded Corners 1">
          <a:extLst>
            <a:ext uri="{FF2B5EF4-FFF2-40B4-BE49-F238E27FC236}">
              <a16:creationId xmlns:a16="http://schemas.microsoft.com/office/drawing/2014/main" id="{45642C77-724C-320B-A678-0EDC0D822685}"/>
            </a:ext>
          </a:extLst>
        </xdr:cNvPr>
        <xdr:cNvSpPr/>
      </xdr:nvSpPr>
      <xdr:spPr>
        <a:xfrm>
          <a:off x="79340" y="60641"/>
          <a:ext cx="3171944" cy="547351"/>
        </a:xfrm>
        <a:prstGeom prst="roundRect">
          <a:avLst>
            <a:gd name="adj" fmla="val 812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a:p>
          <a:pPr algn="l"/>
          <a:endParaRPr lang="en-IN" sz="1100"/>
        </a:p>
      </xdr:txBody>
    </xdr:sp>
    <xdr:clientData/>
  </xdr:twoCellAnchor>
  <xdr:twoCellAnchor editAs="absolute">
    <xdr:from>
      <xdr:col>5</xdr:col>
      <xdr:colOff>252549</xdr:colOff>
      <xdr:row>0</xdr:row>
      <xdr:rowOff>56606</xdr:rowOff>
    </xdr:from>
    <xdr:to>
      <xdr:col>7</xdr:col>
      <xdr:colOff>43543</xdr:colOff>
      <xdr:row>3</xdr:row>
      <xdr:rowOff>56605</xdr:rowOff>
    </xdr:to>
    <xdr:sp macro="" textlink="">
      <xdr:nvSpPr>
        <xdr:cNvPr id="3" name="Rectangle: Rounded Corners 2">
          <a:extLst>
            <a:ext uri="{FF2B5EF4-FFF2-40B4-BE49-F238E27FC236}">
              <a16:creationId xmlns:a16="http://schemas.microsoft.com/office/drawing/2014/main" id="{51AFF4B8-8E05-65CB-FE79-06B36AC0CD3D}"/>
            </a:ext>
          </a:extLst>
        </xdr:cNvPr>
        <xdr:cNvSpPr/>
      </xdr:nvSpPr>
      <xdr:spPr>
        <a:xfrm>
          <a:off x="3291199" y="56606"/>
          <a:ext cx="1006454" cy="546956"/>
        </a:xfrm>
        <a:prstGeom prst="roundRect">
          <a:avLst>
            <a:gd name="adj" fmla="val 5556"/>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91438</xdr:colOff>
      <xdr:row>0</xdr:row>
      <xdr:rowOff>56607</xdr:rowOff>
    </xdr:from>
    <xdr:to>
      <xdr:col>10</xdr:col>
      <xdr:colOff>600889</xdr:colOff>
      <xdr:row>7</xdr:row>
      <xdr:rowOff>4355</xdr:rowOff>
    </xdr:to>
    <xdr:sp macro="" textlink="">
      <xdr:nvSpPr>
        <xdr:cNvPr id="4" name="Rectangle: Rounded Corners 3">
          <a:extLst>
            <a:ext uri="{FF2B5EF4-FFF2-40B4-BE49-F238E27FC236}">
              <a16:creationId xmlns:a16="http://schemas.microsoft.com/office/drawing/2014/main" id="{5DDA098E-D9BB-5C2C-C82C-73BEDC0E378C}"/>
            </a:ext>
          </a:extLst>
        </xdr:cNvPr>
        <xdr:cNvSpPr/>
      </xdr:nvSpPr>
      <xdr:spPr>
        <a:xfrm>
          <a:off x="5586357" y="56607"/>
          <a:ext cx="1119998" cy="1239835"/>
        </a:xfrm>
        <a:prstGeom prst="roundRect">
          <a:avLst>
            <a:gd name="adj" fmla="val 5253"/>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146429</xdr:colOff>
      <xdr:row>0</xdr:row>
      <xdr:rowOff>47082</xdr:rowOff>
    </xdr:from>
    <xdr:to>
      <xdr:col>9</xdr:col>
      <xdr:colOff>46280</xdr:colOff>
      <xdr:row>6</xdr:row>
      <xdr:rowOff>179414</xdr:rowOff>
    </xdr:to>
    <xdr:sp macro="" textlink="">
      <xdr:nvSpPr>
        <xdr:cNvPr id="5" name="Rectangle: Rounded Corners 4">
          <a:extLst>
            <a:ext uri="{FF2B5EF4-FFF2-40B4-BE49-F238E27FC236}">
              <a16:creationId xmlns:a16="http://schemas.microsoft.com/office/drawing/2014/main" id="{F3573972-E684-BF6A-AFBA-A7949B5F9686}"/>
            </a:ext>
          </a:extLst>
        </xdr:cNvPr>
        <xdr:cNvSpPr/>
      </xdr:nvSpPr>
      <xdr:spPr>
        <a:xfrm>
          <a:off x="4420255" y="47082"/>
          <a:ext cx="1120944" cy="1239835"/>
        </a:xfrm>
        <a:prstGeom prst="roundRect">
          <a:avLst>
            <a:gd name="adj" fmla="val 5662"/>
          </a:avLst>
        </a:prstGeom>
        <a:pattFill prst="pct5">
          <a:fgClr>
            <a:schemeClr val="lt1"/>
          </a:fgClr>
          <a:bgClr>
            <a:schemeClr val="bg1"/>
          </a:bgClr>
        </a:pattFill>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IN" sz="800">
            <a:solidFill>
              <a:schemeClr val="tx2">
                <a:lumMod val="75000"/>
                <a:lumOff val="25000"/>
              </a:schemeClr>
            </a:solidFill>
          </a:endParaRPr>
        </a:p>
        <a:p>
          <a:pPr algn="l"/>
          <a:endParaRPr lang="en-IN" sz="1100"/>
        </a:p>
        <a:p>
          <a:pPr algn="l"/>
          <a:endParaRPr lang="en-IN" sz="1100"/>
        </a:p>
        <a:p>
          <a:pPr algn="l"/>
          <a:r>
            <a:rPr lang="en-IN" sz="800"/>
            <a:t>Patient</a:t>
          </a:r>
          <a:r>
            <a:rPr lang="en-IN" sz="1100" baseline="0"/>
            <a:t> </a:t>
          </a:r>
          <a:r>
            <a:rPr lang="en-IN" sz="800" baseline="0"/>
            <a:t>Attend</a:t>
          </a:r>
          <a:r>
            <a:rPr lang="en-IN" sz="900" baseline="0"/>
            <a:t> </a:t>
          </a:r>
          <a:r>
            <a:rPr lang="en-IN" sz="800" baseline="0"/>
            <a:t>Status</a:t>
          </a:r>
          <a:r>
            <a:rPr lang="en-IN" sz="1100" baseline="0"/>
            <a:t> </a:t>
          </a:r>
          <a:endParaRPr lang="en-IN" sz="1100"/>
        </a:p>
      </xdr:txBody>
    </xdr:sp>
    <xdr:clientData/>
  </xdr:twoCellAnchor>
  <xdr:twoCellAnchor editAs="absolute">
    <xdr:from>
      <xdr:col>0</xdr:col>
      <xdr:colOff>74781</xdr:colOff>
      <xdr:row>3</xdr:row>
      <xdr:rowOff>129872</xdr:rowOff>
    </xdr:from>
    <xdr:to>
      <xdr:col>1</xdr:col>
      <xdr:colOff>168411</xdr:colOff>
      <xdr:row>16</xdr:row>
      <xdr:rowOff>37282</xdr:rowOff>
    </xdr:to>
    <xdr:sp macro="" textlink="">
      <xdr:nvSpPr>
        <xdr:cNvPr id="6" name="Rectangle: Rounded Corners 5">
          <a:extLst>
            <a:ext uri="{FF2B5EF4-FFF2-40B4-BE49-F238E27FC236}">
              <a16:creationId xmlns:a16="http://schemas.microsoft.com/office/drawing/2014/main" id="{5064C5EF-517E-A965-9513-7A19D20135EA}"/>
            </a:ext>
          </a:extLst>
        </xdr:cNvPr>
        <xdr:cNvSpPr/>
      </xdr:nvSpPr>
      <xdr:spPr>
        <a:xfrm>
          <a:off x="74781" y="683624"/>
          <a:ext cx="704177" cy="2307000"/>
        </a:xfrm>
        <a:prstGeom prst="roundRect">
          <a:avLst>
            <a:gd name="adj" fmla="val 1066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243269</xdr:colOff>
      <xdr:row>3</xdr:row>
      <xdr:rowOff>144186</xdr:rowOff>
    </xdr:from>
    <xdr:to>
      <xdr:col>7</xdr:col>
      <xdr:colOff>18343</xdr:colOff>
      <xdr:row>6</xdr:row>
      <xdr:rowOff>183219</xdr:rowOff>
    </xdr:to>
    <xdr:grpSp>
      <xdr:nvGrpSpPr>
        <xdr:cNvPr id="10" name="Group 9">
          <a:extLst>
            <a:ext uri="{FF2B5EF4-FFF2-40B4-BE49-F238E27FC236}">
              <a16:creationId xmlns:a16="http://schemas.microsoft.com/office/drawing/2014/main" id="{0322CDA0-80EF-C5DE-8FA5-27DA859B9D07}"/>
            </a:ext>
          </a:extLst>
        </xdr:cNvPr>
        <xdr:cNvGrpSpPr/>
      </xdr:nvGrpSpPr>
      <xdr:grpSpPr>
        <a:xfrm>
          <a:off x="853816" y="697938"/>
          <a:ext cx="3438353" cy="592784"/>
          <a:chOff x="844265" y="686295"/>
          <a:chExt cx="2760615" cy="585263"/>
        </a:xfrm>
      </xdr:grpSpPr>
      <xdr:sp macro="" textlink="'Pivot Report'!A5">
        <xdr:nvSpPr>
          <xdr:cNvPr id="7" name="Rectangle: Rounded Corners 6">
            <a:extLst>
              <a:ext uri="{FF2B5EF4-FFF2-40B4-BE49-F238E27FC236}">
                <a16:creationId xmlns:a16="http://schemas.microsoft.com/office/drawing/2014/main" id="{FCCF79E8-0E02-3860-28C8-93A6087357DF}"/>
              </a:ext>
            </a:extLst>
          </xdr:cNvPr>
          <xdr:cNvSpPr/>
        </xdr:nvSpPr>
        <xdr:spPr>
          <a:xfrm>
            <a:off x="844265" y="690967"/>
            <a:ext cx="883680" cy="580588"/>
          </a:xfrm>
          <a:prstGeom prst="roundRect">
            <a:avLst>
              <a:gd name="adj" fmla="val 9420"/>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a:solidFill>
                  <a:srgbClr val="000000"/>
                </a:solidFill>
                <a:latin typeface="Aptos Narrow"/>
              </a:rPr>
              <a:t>            </a:t>
            </a:r>
            <a:fld id="{3C37DAF6-94C8-448E-949A-CEAA494022A6}" type="TxLink">
              <a:rPr lang="en-US" sz="1100" b="0" i="0" u="none" strike="noStrike">
                <a:solidFill>
                  <a:srgbClr val="000000"/>
                </a:solidFill>
                <a:latin typeface="Aptos Narrow"/>
              </a:rPr>
              <a:pPr algn="l"/>
              <a:t>469</a:t>
            </a:fld>
            <a:endParaRPr lang="en-US" sz="1100" b="0" i="0" u="none" strike="noStrike">
              <a:solidFill>
                <a:srgbClr val="000000"/>
              </a:solidFill>
              <a:latin typeface="Aptos Narrow"/>
            </a:endParaRPr>
          </a:p>
          <a:p>
            <a:pPr algn="l"/>
            <a:r>
              <a:rPr lang="en-US" sz="1100" b="0" i="0" u="none" strike="noStrike">
                <a:solidFill>
                  <a:srgbClr val="000000"/>
                </a:solidFill>
                <a:latin typeface="Aptos Narrow"/>
              </a:rPr>
              <a:t>       </a:t>
            </a:r>
            <a:r>
              <a:rPr lang="en-US" sz="800" b="0" i="0" u="none" strike="noStrike">
                <a:solidFill>
                  <a:srgbClr val="000000"/>
                </a:solidFill>
                <a:latin typeface="Aptos Narrow"/>
              </a:rPr>
              <a:t>No</a:t>
            </a:r>
            <a:r>
              <a:rPr lang="en-US" sz="1100" b="0" i="0" u="none" strike="noStrike" baseline="0">
                <a:solidFill>
                  <a:srgbClr val="000000"/>
                </a:solidFill>
                <a:latin typeface="Aptos Narrow"/>
              </a:rPr>
              <a:t> </a:t>
            </a:r>
            <a:r>
              <a:rPr lang="en-US" sz="800" b="0" i="0" u="none" strike="noStrike" baseline="0">
                <a:solidFill>
                  <a:srgbClr val="000000"/>
                </a:solidFill>
                <a:latin typeface="Aptos Narrow"/>
              </a:rPr>
              <a:t>of</a:t>
            </a:r>
            <a:r>
              <a:rPr lang="en-US" sz="1100" b="0" i="0" u="none" strike="noStrike" baseline="0">
                <a:solidFill>
                  <a:srgbClr val="000000"/>
                </a:solidFill>
                <a:latin typeface="Aptos Narrow"/>
              </a:rPr>
              <a:t> </a:t>
            </a:r>
            <a:r>
              <a:rPr lang="en-US" sz="800" b="0" i="0" u="none" strike="noStrike" baseline="0">
                <a:solidFill>
                  <a:srgbClr val="000000"/>
                </a:solidFill>
                <a:latin typeface="Aptos Narrow"/>
              </a:rPr>
              <a:t>Patient</a:t>
            </a:r>
            <a:endParaRPr lang="en-US" sz="800" b="0" i="0" u="none" strike="noStrike">
              <a:solidFill>
                <a:srgbClr val="000000"/>
              </a:solidFill>
              <a:latin typeface="Aptos Narrow"/>
            </a:endParaRPr>
          </a:p>
        </xdr:txBody>
      </xdr:sp>
      <xdr:sp macro="" textlink="'Pivot Report'!A9">
        <xdr:nvSpPr>
          <xdr:cNvPr id="8" name="Rectangle: Rounded Corners 7">
            <a:hlinkClick xmlns:r="http://schemas.openxmlformats.org/officeDocument/2006/relationships" r:id="rId1"/>
            <a:extLst>
              <a:ext uri="{FF2B5EF4-FFF2-40B4-BE49-F238E27FC236}">
                <a16:creationId xmlns:a16="http://schemas.microsoft.com/office/drawing/2014/main" id="{49059411-F3B6-02B3-844F-E2B59BA4108D}"/>
              </a:ext>
            </a:extLst>
          </xdr:cNvPr>
          <xdr:cNvSpPr/>
        </xdr:nvSpPr>
        <xdr:spPr>
          <a:xfrm>
            <a:off x="1786561" y="690970"/>
            <a:ext cx="883680" cy="580588"/>
          </a:xfrm>
          <a:prstGeom prst="roundRect">
            <a:avLst>
              <a:gd name="adj" fmla="val 9420"/>
            </a:avLst>
          </a:prstGeom>
          <a:solidFill>
            <a:sysClr val="window" lastClr="FFFFFF"/>
          </a:solidFill>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a:solidFill>
                  <a:srgbClr val="000000"/>
                </a:solidFill>
                <a:latin typeface="Aptos Narrow"/>
              </a:rPr>
              <a:t>          </a:t>
            </a:r>
            <a:r>
              <a:rPr lang="en-US" sz="1100" b="0" i="0" u="none" strike="noStrike" baseline="0">
                <a:solidFill>
                  <a:srgbClr val="000000"/>
                </a:solidFill>
                <a:latin typeface="Aptos Narrow"/>
              </a:rPr>
              <a:t>  </a:t>
            </a:r>
            <a:fld id="{64C3E0F1-6D01-4D63-B6A3-288B370759C1}" type="TxLink">
              <a:rPr lang="en-US" sz="1100" b="0" i="0" u="none" strike="noStrike">
                <a:solidFill>
                  <a:srgbClr val="000000"/>
                </a:solidFill>
                <a:latin typeface="Aptos Narrow"/>
              </a:rPr>
              <a:pPr algn="l"/>
              <a:t>34.27</a:t>
            </a:fld>
            <a:endParaRPr lang="en-US" sz="1100" b="0" i="0" u="none" strike="noStrike">
              <a:solidFill>
                <a:srgbClr val="000000"/>
              </a:solidFill>
              <a:latin typeface="Aptos Narrow"/>
            </a:endParaRPr>
          </a:p>
          <a:p>
            <a:pPr algn="l"/>
            <a:r>
              <a:rPr lang="en-US" sz="1100" b="0" i="0" u="none" strike="noStrike">
                <a:solidFill>
                  <a:srgbClr val="000000"/>
                </a:solidFill>
                <a:latin typeface="Aptos Narrow"/>
              </a:rPr>
              <a:t> </a:t>
            </a:r>
            <a:r>
              <a:rPr lang="en-US" sz="1100" b="0" i="0" u="none" strike="noStrike" baseline="0">
                <a:solidFill>
                  <a:srgbClr val="000000"/>
                </a:solidFill>
                <a:latin typeface="Aptos Narrow"/>
              </a:rPr>
              <a:t>     </a:t>
            </a:r>
            <a:r>
              <a:rPr lang="en-US" sz="800" b="0" i="0" u="none" strike="noStrike">
                <a:solidFill>
                  <a:srgbClr val="000000"/>
                </a:solidFill>
                <a:latin typeface="Aptos Narrow"/>
              </a:rPr>
              <a:t>Avg</a:t>
            </a:r>
            <a:r>
              <a:rPr lang="en-US" sz="1100" b="0" i="0" u="none" strike="noStrike">
                <a:solidFill>
                  <a:srgbClr val="000000"/>
                </a:solidFill>
                <a:latin typeface="Aptos Narrow"/>
              </a:rPr>
              <a:t>. </a:t>
            </a:r>
            <a:r>
              <a:rPr lang="en-US" sz="800" b="0" i="0" u="none" strike="noStrike">
                <a:solidFill>
                  <a:srgbClr val="000000"/>
                </a:solidFill>
                <a:latin typeface="Aptos Narrow"/>
              </a:rPr>
              <a:t>Wait</a:t>
            </a:r>
            <a:r>
              <a:rPr lang="en-US" sz="1100" b="0" i="0" u="none" strike="noStrike">
                <a:solidFill>
                  <a:srgbClr val="000000"/>
                </a:solidFill>
                <a:latin typeface="Aptos Narrow"/>
              </a:rPr>
              <a:t> </a:t>
            </a:r>
            <a:r>
              <a:rPr lang="en-US" sz="800" b="0" i="0" u="none" strike="noStrike">
                <a:solidFill>
                  <a:srgbClr val="000000"/>
                </a:solidFill>
                <a:latin typeface="Aptos Narrow"/>
              </a:rPr>
              <a:t>Time</a:t>
            </a:r>
            <a:endParaRPr lang="en-IN" sz="800"/>
          </a:p>
        </xdr:txBody>
      </xdr:sp>
      <xdr:sp macro="" textlink="'Pivot Report'!A13">
        <xdr:nvSpPr>
          <xdr:cNvPr id="9" name="Rectangle: Rounded Corners 8">
            <a:extLst>
              <a:ext uri="{FF2B5EF4-FFF2-40B4-BE49-F238E27FC236}">
                <a16:creationId xmlns:a16="http://schemas.microsoft.com/office/drawing/2014/main" id="{F23FD08F-C9B5-5D59-773B-4E950939D024}"/>
              </a:ext>
            </a:extLst>
          </xdr:cNvPr>
          <xdr:cNvSpPr/>
        </xdr:nvSpPr>
        <xdr:spPr>
          <a:xfrm>
            <a:off x="2721200" y="686295"/>
            <a:ext cx="883680" cy="580588"/>
          </a:xfrm>
          <a:prstGeom prst="roundRect">
            <a:avLst>
              <a:gd name="adj" fmla="val 11031"/>
            </a:avLst>
          </a:prstGeom>
          <a:solidFill>
            <a:sysClr val="window" lastClr="FFFFFF"/>
          </a:solidFill>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a:solidFill>
                  <a:srgbClr val="000000"/>
                </a:solidFill>
                <a:latin typeface="Aptos Narrow"/>
              </a:rPr>
              <a:t>           </a:t>
            </a:r>
            <a:fld id="{31045767-524A-4D2A-A4BF-AA34E7F0E703}" type="TxLink">
              <a:rPr lang="en-US" sz="1100" b="0" i="0" u="none" strike="noStrike">
                <a:solidFill>
                  <a:srgbClr val="000000"/>
                </a:solidFill>
                <a:latin typeface="Aptos Narrow"/>
              </a:rPr>
              <a:pPr algn="l"/>
              <a:t>4.98</a:t>
            </a:fld>
            <a:endParaRPr lang="en-US" sz="1100" b="0" i="0" u="none" strike="noStrike">
              <a:solidFill>
                <a:srgbClr val="000000"/>
              </a:solidFill>
              <a:latin typeface="Aptos Narrow"/>
            </a:endParaRPr>
          </a:p>
          <a:p>
            <a:pPr algn="l"/>
            <a:r>
              <a:rPr lang="en-US" sz="800" b="0" i="0" u="none" strike="noStrike" baseline="0">
                <a:solidFill>
                  <a:srgbClr val="000000"/>
                </a:solidFill>
                <a:latin typeface="Aptos Narrow"/>
              </a:rPr>
              <a:t>    </a:t>
            </a:r>
            <a:r>
              <a:rPr lang="en-US" sz="800" b="0" i="0" u="none" strike="noStrike">
                <a:solidFill>
                  <a:srgbClr val="000000"/>
                </a:solidFill>
                <a:latin typeface="Aptos Narrow"/>
              </a:rPr>
              <a:t>Satisfaction</a:t>
            </a:r>
            <a:r>
              <a:rPr lang="en-US" sz="900" b="0" i="0" u="none" strike="noStrike" baseline="0">
                <a:solidFill>
                  <a:srgbClr val="000000"/>
                </a:solidFill>
                <a:latin typeface="Aptos Narrow"/>
              </a:rPr>
              <a:t> </a:t>
            </a:r>
            <a:r>
              <a:rPr lang="en-US" sz="800" b="0" i="0" u="none" strike="noStrike" baseline="0">
                <a:solidFill>
                  <a:srgbClr val="000000"/>
                </a:solidFill>
                <a:latin typeface="Aptos Narrow"/>
              </a:rPr>
              <a:t>Score</a:t>
            </a:r>
            <a:endParaRPr lang="en-US" sz="800" b="0" i="0" u="none" strike="noStrike">
              <a:solidFill>
                <a:srgbClr val="000000"/>
              </a:solidFill>
              <a:latin typeface="Aptos Narrow"/>
            </a:endParaRPr>
          </a:p>
        </xdr:txBody>
      </xdr:sp>
    </xdr:grpSp>
    <xdr:clientData/>
  </xdr:twoCellAnchor>
  <xdr:twoCellAnchor editAs="absolute">
    <xdr:from>
      <xdr:col>1</xdr:col>
      <xdr:colOff>214638</xdr:colOff>
      <xdr:row>9</xdr:row>
      <xdr:rowOff>116347</xdr:rowOff>
    </xdr:from>
    <xdr:to>
      <xdr:col>7</xdr:col>
      <xdr:colOff>36993</xdr:colOff>
      <xdr:row>15</xdr:row>
      <xdr:rowOff>160919</xdr:rowOff>
    </xdr:to>
    <xdr:sp macro="" textlink="">
      <xdr:nvSpPr>
        <xdr:cNvPr id="12" name="Rectangle: Rounded Corners 11">
          <a:extLst>
            <a:ext uri="{FF2B5EF4-FFF2-40B4-BE49-F238E27FC236}">
              <a16:creationId xmlns:a16="http://schemas.microsoft.com/office/drawing/2014/main" id="{A1DA3E4D-FB59-890E-D9E8-DE98864CAFB6}"/>
            </a:ext>
          </a:extLst>
        </xdr:cNvPr>
        <xdr:cNvSpPr/>
      </xdr:nvSpPr>
      <xdr:spPr>
        <a:xfrm>
          <a:off x="825185" y="1777602"/>
          <a:ext cx="3485634" cy="1152075"/>
        </a:xfrm>
        <a:prstGeom prst="roundRect">
          <a:avLst>
            <a:gd name="adj" fmla="val 6421"/>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p>
        <a:p>
          <a:pPr algn="l"/>
          <a:endParaRPr lang="en-IN" sz="1100"/>
        </a:p>
        <a:p>
          <a:pPr algn="l"/>
          <a:endParaRPr lang="en-IN" sz="1100"/>
        </a:p>
        <a:p>
          <a:pPr algn="l"/>
          <a:endParaRPr lang="en-IN" sz="1100"/>
        </a:p>
        <a:p>
          <a:pPr algn="l"/>
          <a:endParaRPr lang="en-IN" sz="1100"/>
        </a:p>
        <a:p>
          <a:pPr algn="l"/>
          <a:r>
            <a:rPr lang="en-IN" sz="1100"/>
            <a:t>                                  </a:t>
          </a:r>
          <a:r>
            <a:rPr lang="en-IN" sz="1100" b="1"/>
            <a:t>  No. of Patient by Age Group</a:t>
          </a:r>
        </a:p>
        <a:p>
          <a:pPr algn="l"/>
          <a:endParaRPr lang="en-IN" sz="1100"/>
        </a:p>
        <a:p>
          <a:pPr algn="l"/>
          <a:r>
            <a:rPr lang="en-IN" sz="1100"/>
            <a:t>                                   </a:t>
          </a:r>
          <a:r>
            <a:rPr lang="en-IN" sz="700"/>
            <a:t>    </a:t>
          </a:r>
        </a:p>
        <a:p>
          <a:pPr algn="l"/>
          <a:endParaRPr lang="en-IN" sz="700"/>
        </a:p>
        <a:p>
          <a:pPr algn="l"/>
          <a:r>
            <a:rPr lang="en-IN" sz="700"/>
            <a:t>                              </a:t>
          </a:r>
          <a:endParaRPr lang="en-IN" sz="1100"/>
        </a:p>
      </xdr:txBody>
    </xdr:sp>
    <xdr:clientData/>
  </xdr:twoCellAnchor>
  <xdr:twoCellAnchor editAs="absolute">
    <xdr:from>
      <xdr:col>7</xdr:col>
      <xdr:colOff>132229</xdr:colOff>
      <xdr:row>7</xdr:row>
      <xdr:rowOff>70631</xdr:rowOff>
    </xdr:from>
    <xdr:to>
      <xdr:col>10</xdr:col>
      <xdr:colOff>589029</xdr:colOff>
      <xdr:row>16</xdr:row>
      <xdr:rowOff>9350</xdr:rowOff>
    </xdr:to>
    <xdr:sp macro="" textlink="">
      <xdr:nvSpPr>
        <xdr:cNvPr id="23" name="Rectangle: Rounded Corners 22">
          <a:extLst>
            <a:ext uri="{FF2B5EF4-FFF2-40B4-BE49-F238E27FC236}">
              <a16:creationId xmlns:a16="http://schemas.microsoft.com/office/drawing/2014/main" id="{E8EA0DB5-F677-81AE-D1B4-B544E911805D}"/>
            </a:ext>
          </a:extLst>
        </xdr:cNvPr>
        <xdr:cNvSpPr/>
      </xdr:nvSpPr>
      <xdr:spPr>
        <a:xfrm>
          <a:off x="4406055" y="1362718"/>
          <a:ext cx="2288440" cy="1599974"/>
        </a:xfrm>
        <a:prstGeom prst="roundRect">
          <a:avLst>
            <a:gd name="adj" fmla="val 5192"/>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355288</xdr:colOff>
      <xdr:row>0</xdr:row>
      <xdr:rowOff>172971</xdr:rowOff>
    </xdr:from>
    <xdr:to>
      <xdr:col>5</xdr:col>
      <xdr:colOff>98172</xdr:colOff>
      <xdr:row>1</xdr:row>
      <xdr:rowOff>158946</xdr:rowOff>
    </xdr:to>
    <xdr:sp macro="" textlink="">
      <xdr:nvSpPr>
        <xdr:cNvPr id="24" name="TextBox 23">
          <a:extLst>
            <a:ext uri="{FF2B5EF4-FFF2-40B4-BE49-F238E27FC236}">
              <a16:creationId xmlns:a16="http://schemas.microsoft.com/office/drawing/2014/main" id="{013201B6-135E-8155-7082-EBC386E86DF0}"/>
            </a:ext>
          </a:extLst>
        </xdr:cNvPr>
        <xdr:cNvSpPr txBox="1"/>
      </xdr:nvSpPr>
      <xdr:spPr>
        <a:xfrm>
          <a:off x="355288" y="172971"/>
          <a:ext cx="2801616" cy="168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HOSPITAL EMERGENCY</a:t>
          </a:r>
          <a:r>
            <a:rPr lang="en-IN" sz="1100" baseline="0"/>
            <a:t> ROOM DASHBOARD</a:t>
          </a:r>
          <a:endParaRPr lang="en-IN" sz="1100"/>
        </a:p>
      </xdr:txBody>
    </xdr:sp>
    <xdr:clientData/>
  </xdr:twoCellAnchor>
  <xdr:oneCellAnchor>
    <xdr:from>
      <xdr:col>4</xdr:col>
      <xdr:colOff>444111</xdr:colOff>
      <xdr:row>1</xdr:row>
      <xdr:rowOff>130896</xdr:rowOff>
    </xdr:from>
    <xdr:ext cx="184731" cy="264560"/>
    <xdr:sp macro="" textlink="">
      <xdr:nvSpPr>
        <xdr:cNvPr id="25" name="TextBox 24">
          <a:extLst>
            <a:ext uri="{FF2B5EF4-FFF2-40B4-BE49-F238E27FC236}">
              <a16:creationId xmlns:a16="http://schemas.microsoft.com/office/drawing/2014/main" id="{202E614D-A2A9-EBCD-E109-401E663DEB9D}"/>
            </a:ext>
          </a:extLst>
        </xdr:cNvPr>
        <xdr:cNvSpPr txBox="1"/>
      </xdr:nvSpPr>
      <xdr:spPr>
        <a:xfrm>
          <a:off x="2875031" y="31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0</xdr:colOff>
      <xdr:row>0</xdr:row>
      <xdr:rowOff>87735</xdr:rowOff>
    </xdr:from>
    <xdr:to>
      <xdr:col>1</xdr:col>
      <xdr:colOff>123422</xdr:colOff>
      <xdr:row>3</xdr:row>
      <xdr:rowOff>69761</xdr:rowOff>
    </xdr:to>
    <xdr:pic>
      <xdr:nvPicPr>
        <xdr:cNvPr id="27" name="Picture 26">
          <a:extLst>
            <a:ext uri="{FF2B5EF4-FFF2-40B4-BE49-F238E27FC236}">
              <a16:creationId xmlns:a16="http://schemas.microsoft.com/office/drawing/2014/main" id="{D85323C0-7454-9F42-F4D7-ACEB41A247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7735"/>
          <a:ext cx="733969" cy="535778"/>
        </a:xfrm>
        <a:prstGeom prst="rect">
          <a:avLst/>
        </a:prstGeom>
      </xdr:spPr>
    </xdr:pic>
    <xdr:clientData/>
  </xdr:twoCellAnchor>
  <xdr:twoCellAnchor>
    <xdr:from>
      <xdr:col>1</xdr:col>
      <xdr:colOff>198550</xdr:colOff>
      <xdr:row>1</xdr:row>
      <xdr:rowOff>155619</xdr:rowOff>
    </xdr:from>
    <xdr:to>
      <xdr:col>4</xdr:col>
      <xdr:colOff>504422</xdr:colOff>
      <xdr:row>2</xdr:row>
      <xdr:rowOff>171719</xdr:rowOff>
    </xdr:to>
    <xdr:sp macro="" textlink="">
      <xdr:nvSpPr>
        <xdr:cNvPr id="28" name="TextBox 27">
          <a:extLst>
            <a:ext uri="{FF2B5EF4-FFF2-40B4-BE49-F238E27FC236}">
              <a16:creationId xmlns:a16="http://schemas.microsoft.com/office/drawing/2014/main" id="{FB0DB1BA-9BCD-27BD-EEBB-3DE2C92BDB91}"/>
            </a:ext>
          </a:extLst>
        </xdr:cNvPr>
        <xdr:cNvSpPr txBox="1"/>
      </xdr:nvSpPr>
      <xdr:spPr>
        <a:xfrm>
          <a:off x="810296" y="338070"/>
          <a:ext cx="2141112" cy="19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000"/>
            <a:t>Monthly Report</a:t>
          </a:r>
          <a:endParaRPr lang="en-IN" sz="1100"/>
        </a:p>
      </xdr:txBody>
    </xdr:sp>
    <xdr:clientData/>
  </xdr:twoCellAnchor>
  <xdr:twoCellAnchor editAs="oneCell">
    <xdr:from>
      <xdr:col>4</xdr:col>
      <xdr:colOff>523940</xdr:colOff>
      <xdr:row>3</xdr:row>
      <xdr:rowOff>166598</xdr:rowOff>
    </xdr:from>
    <xdr:to>
      <xdr:col>5</xdr:col>
      <xdr:colOff>52063</xdr:colOff>
      <xdr:row>4</xdr:row>
      <xdr:rowOff>113590</xdr:rowOff>
    </xdr:to>
    <xdr:pic>
      <xdr:nvPicPr>
        <xdr:cNvPr id="35" name="Graphic 34" descr="Hourglass Full with solid fill">
          <a:extLst>
            <a:ext uri="{FF2B5EF4-FFF2-40B4-BE49-F238E27FC236}">
              <a16:creationId xmlns:a16="http://schemas.microsoft.com/office/drawing/2014/main" id="{5D09D7B2-09EA-CC45-3001-27EA3B2904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66126" y="720350"/>
          <a:ext cx="138670" cy="131575"/>
        </a:xfrm>
        <a:prstGeom prst="rect">
          <a:avLst/>
        </a:prstGeom>
      </xdr:spPr>
    </xdr:pic>
    <xdr:clientData/>
  </xdr:twoCellAnchor>
  <xdr:twoCellAnchor editAs="oneCell">
    <xdr:from>
      <xdr:col>6</xdr:col>
      <xdr:colOff>445839</xdr:colOff>
      <xdr:row>3</xdr:row>
      <xdr:rowOff>138202</xdr:rowOff>
    </xdr:from>
    <xdr:to>
      <xdr:col>7</xdr:col>
      <xdr:colOff>14196</xdr:colOff>
      <xdr:row>4</xdr:row>
      <xdr:rowOff>132522</xdr:rowOff>
    </xdr:to>
    <xdr:pic>
      <xdr:nvPicPr>
        <xdr:cNvPr id="37" name="Graphic 36" descr="Rating with solid fill">
          <a:extLst>
            <a:ext uri="{FF2B5EF4-FFF2-40B4-BE49-F238E27FC236}">
              <a16:creationId xmlns:a16="http://schemas.microsoft.com/office/drawing/2014/main" id="{F1BC1D89-26AD-F752-23C0-139BED08FA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09119" y="691954"/>
          <a:ext cx="178903" cy="178903"/>
        </a:xfrm>
        <a:prstGeom prst="rect">
          <a:avLst/>
        </a:prstGeom>
      </xdr:spPr>
    </xdr:pic>
    <xdr:clientData/>
  </xdr:twoCellAnchor>
  <xdr:twoCellAnchor editAs="oneCell">
    <xdr:from>
      <xdr:col>2</xdr:col>
      <xdr:colOff>553752</xdr:colOff>
      <xdr:row>3</xdr:row>
      <xdr:rowOff>147666</xdr:rowOff>
    </xdr:from>
    <xdr:to>
      <xdr:col>3</xdr:col>
      <xdr:colOff>94659</xdr:colOff>
      <xdr:row>4</xdr:row>
      <xdr:rowOff>114537</xdr:rowOff>
    </xdr:to>
    <xdr:pic>
      <xdr:nvPicPr>
        <xdr:cNvPr id="39" name="Graphic 38" descr="Male profile with solid fill">
          <a:extLst>
            <a:ext uri="{FF2B5EF4-FFF2-40B4-BE49-F238E27FC236}">
              <a16:creationId xmlns:a16="http://schemas.microsoft.com/office/drawing/2014/main" id="{69242C5D-0A69-4602-B81C-76692A8746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74845" y="701418"/>
          <a:ext cx="151454" cy="151454"/>
        </a:xfrm>
        <a:prstGeom prst="rect">
          <a:avLst/>
        </a:prstGeom>
      </xdr:spPr>
    </xdr:pic>
    <xdr:clientData/>
  </xdr:twoCellAnchor>
  <xdr:twoCellAnchor editAs="oneCell">
    <xdr:from>
      <xdr:col>0</xdr:col>
      <xdr:colOff>132521</xdr:colOff>
      <xdr:row>4</xdr:row>
      <xdr:rowOff>4733</xdr:rowOff>
    </xdr:from>
    <xdr:to>
      <xdr:col>1</xdr:col>
      <xdr:colOff>104124</xdr:colOff>
      <xdr:row>15</xdr:row>
      <xdr:rowOff>175118</xdr:rowOff>
    </xdr:to>
    <mc:AlternateContent xmlns:mc="http://schemas.openxmlformats.org/markup-compatibility/2006" xmlns:a14="http://schemas.microsoft.com/office/drawing/2010/main">
      <mc:Choice Requires="a14">
        <xdr:graphicFrame macro="">
          <xdr:nvGraphicFramePr>
            <xdr:cNvPr id="41" name="Date (Month) 2">
              <a:extLst>
                <a:ext uri="{FF2B5EF4-FFF2-40B4-BE49-F238E27FC236}">
                  <a16:creationId xmlns:a16="http://schemas.microsoft.com/office/drawing/2014/main" id="{054B546A-B54B-43A2-B47A-100F62908074}"/>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32521" y="743068"/>
              <a:ext cx="582150" cy="220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217714</xdr:colOff>
      <xdr:row>3</xdr:row>
      <xdr:rowOff>170385</xdr:rowOff>
    </xdr:from>
    <xdr:to>
      <xdr:col>3</xdr:col>
      <xdr:colOff>156186</xdr:colOff>
      <xdr:row>7</xdr:row>
      <xdr:rowOff>9466</xdr:rowOff>
    </xdr:to>
    <xdr:graphicFrame macro="">
      <xdr:nvGraphicFramePr>
        <xdr:cNvPr id="42" name="Chart 41">
          <a:hlinkClick xmlns:r="http://schemas.openxmlformats.org/officeDocument/2006/relationships" r:id="rId9"/>
          <a:extLst>
            <a:ext uri="{FF2B5EF4-FFF2-40B4-BE49-F238E27FC236}">
              <a16:creationId xmlns:a16="http://schemas.microsoft.com/office/drawing/2014/main" id="{261E15F5-2A08-4F55-B051-828CAF0A2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175118</xdr:colOff>
      <xdr:row>5</xdr:row>
      <xdr:rowOff>165651</xdr:rowOff>
    </xdr:from>
    <xdr:to>
      <xdr:col>5</xdr:col>
      <xdr:colOff>89925</xdr:colOff>
      <xdr:row>6</xdr:row>
      <xdr:rowOff>179851</xdr:rowOff>
    </xdr:to>
    <xdr:graphicFrame macro="">
      <xdr:nvGraphicFramePr>
        <xdr:cNvPr id="43" name="Chart 42">
          <a:extLst>
            <a:ext uri="{FF2B5EF4-FFF2-40B4-BE49-F238E27FC236}">
              <a16:creationId xmlns:a16="http://schemas.microsoft.com/office/drawing/2014/main" id="{176E227A-6386-4D11-80EE-B9063746B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123056</xdr:colOff>
      <xdr:row>4</xdr:row>
      <xdr:rowOff>61527</xdr:rowOff>
    </xdr:from>
    <xdr:to>
      <xdr:col>7</xdr:col>
      <xdr:colOff>9466</xdr:colOff>
      <xdr:row>6</xdr:row>
      <xdr:rowOff>179850</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C7C29B83-29B6-4CF8-A925-E55F8B222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241378</xdr:colOff>
          <xdr:row>7</xdr:row>
          <xdr:rowOff>56795</xdr:rowOff>
        </xdr:from>
        <xdr:to>
          <xdr:col>7</xdr:col>
          <xdr:colOff>28398</xdr:colOff>
          <xdr:row>9</xdr:row>
          <xdr:rowOff>99391</xdr:rowOff>
        </xdr:to>
        <xdr:pic>
          <xdr:nvPicPr>
            <xdr:cNvPr id="52" name="Picture 51">
              <a:extLst>
                <a:ext uri="{FF2B5EF4-FFF2-40B4-BE49-F238E27FC236}">
                  <a16:creationId xmlns:a16="http://schemas.microsoft.com/office/drawing/2014/main" id="{8F8F90C9-6576-CED9-AC70-6CAECA939F55}"/>
                </a:ext>
              </a:extLst>
            </xdr:cNvPr>
            <xdr:cNvPicPr>
              <a:picLocks noChangeAspect="1" noChangeArrowheads="1"/>
              <a:extLst>
                <a:ext uri="{84589F7E-364E-4C9E-8A38-B11213B215E9}">
                  <a14:cameraTool cellRange="'Pivot Report'!$A$47:$D$49" spid="_x0000_s2074"/>
                </a:ext>
              </a:extLst>
            </xdr:cNvPicPr>
          </xdr:nvPicPr>
          <xdr:blipFill>
            <a:blip xmlns:r="http://schemas.openxmlformats.org/officeDocument/2006/relationships" r:embed="rId14"/>
            <a:srcRect/>
            <a:stretch>
              <a:fillRect/>
            </a:stretch>
          </xdr:blipFill>
          <xdr:spPr bwMode="auto">
            <a:xfrm>
              <a:off x="851925" y="1348882"/>
              <a:ext cx="3450299" cy="41176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246110</xdr:colOff>
      <xdr:row>9</xdr:row>
      <xdr:rowOff>170386</xdr:rowOff>
    </xdr:from>
    <xdr:to>
      <xdr:col>6</xdr:col>
      <xdr:colOff>605812</xdr:colOff>
      <xdr:row>14</xdr:row>
      <xdr:rowOff>108857</xdr:rowOff>
    </xdr:to>
    <xdr:graphicFrame macro="">
      <xdr:nvGraphicFramePr>
        <xdr:cNvPr id="54" name="Chart 53">
          <a:extLst>
            <a:ext uri="{FF2B5EF4-FFF2-40B4-BE49-F238E27FC236}">
              <a16:creationId xmlns:a16="http://schemas.microsoft.com/office/drawing/2014/main" id="{389D6B8C-EA70-4C11-A15A-2B8199C38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236646</xdr:colOff>
      <xdr:row>14</xdr:row>
      <xdr:rowOff>123056</xdr:rowOff>
    </xdr:from>
    <xdr:to>
      <xdr:col>6</xdr:col>
      <xdr:colOff>605813</xdr:colOff>
      <xdr:row>16</xdr:row>
      <xdr:rowOff>4733</xdr:rowOff>
    </xdr:to>
    <xdr:sp macro="" textlink="">
      <xdr:nvSpPr>
        <xdr:cNvPr id="61" name="TextBox 60">
          <a:extLst>
            <a:ext uri="{FF2B5EF4-FFF2-40B4-BE49-F238E27FC236}">
              <a16:creationId xmlns:a16="http://schemas.microsoft.com/office/drawing/2014/main" id="{C1C83782-F8E3-F447-EB52-5CF14F962121}"/>
            </a:ext>
          </a:extLst>
        </xdr:cNvPr>
        <xdr:cNvSpPr txBox="1"/>
      </xdr:nvSpPr>
      <xdr:spPr>
        <a:xfrm>
          <a:off x="847193" y="2707230"/>
          <a:ext cx="3421900" cy="250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No. of Patient by</a:t>
          </a:r>
          <a:r>
            <a:rPr lang="en-IN" sz="1100" baseline="0"/>
            <a:t> Age Group</a:t>
          </a:r>
          <a:endParaRPr lang="en-IN" sz="1100"/>
        </a:p>
      </xdr:txBody>
    </xdr:sp>
    <xdr:clientData/>
  </xdr:twoCellAnchor>
  <xdr:twoCellAnchor>
    <xdr:from>
      <xdr:col>6</xdr:col>
      <xdr:colOff>496958</xdr:colOff>
      <xdr:row>0</xdr:row>
      <xdr:rowOff>75727</xdr:rowOff>
    </xdr:from>
    <xdr:to>
      <xdr:col>9</xdr:col>
      <xdr:colOff>212983</xdr:colOff>
      <xdr:row>5</xdr:row>
      <xdr:rowOff>163760</xdr:rowOff>
    </xdr:to>
    <xdr:graphicFrame macro="">
      <xdr:nvGraphicFramePr>
        <xdr:cNvPr id="64" name="Chart 63">
          <a:extLst>
            <a:ext uri="{FF2B5EF4-FFF2-40B4-BE49-F238E27FC236}">
              <a16:creationId xmlns:a16="http://schemas.microsoft.com/office/drawing/2014/main" id="{8788447C-65B7-49FD-8289-046476C30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572683</xdr:colOff>
      <xdr:row>0</xdr:row>
      <xdr:rowOff>56795</xdr:rowOff>
    </xdr:from>
    <xdr:to>
      <xdr:col>11</xdr:col>
      <xdr:colOff>586881</xdr:colOff>
      <xdr:row>7</xdr:row>
      <xdr:rowOff>146721</xdr:rowOff>
    </xdr:to>
    <xdr:graphicFrame macro="">
      <xdr:nvGraphicFramePr>
        <xdr:cNvPr id="67" name="Chart 66">
          <a:extLst>
            <a:ext uri="{FF2B5EF4-FFF2-40B4-BE49-F238E27FC236}">
              <a16:creationId xmlns:a16="http://schemas.microsoft.com/office/drawing/2014/main" id="{D33AA775-0A75-4F76-9F03-7B2975D58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7</xdr:col>
      <xdr:colOff>227181</xdr:colOff>
      <xdr:row>5</xdr:row>
      <xdr:rowOff>146720</xdr:rowOff>
    </xdr:from>
    <xdr:to>
      <xdr:col>8</xdr:col>
      <xdr:colOff>599699</xdr:colOff>
      <xdr:row>7</xdr:row>
      <xdr:rowOff>6172</xdr:rowOff>
    </xdr:to>
    <xdr:pic>
      <xdr:nvPicPr>
        <xdr:cNvPr id="70" name="Picture 69">
          <a:extLst>
            <a:ext uri="{FF2B5EF4-FFF2-40B4-BE49-F238E27FC236}">
              <a16:creationId xmlns:a16="http://schemas.microsoft.com/office/drawing/2014/main" id="{13328A49-8FC2-13B7-99D2-8CCF3CBC9FF6}"/>
            </a:ext>
          </a:extLst>
        </xdr:cNvPr>
        <xdr:cNvPicPr>
          <a:picLocks noChangeAspect="1"/>
        </xdr:cNvPicPr>
      </xdr:nvPicPr>
      <xdr:blipFill>
        <a:blip xmlns:r="http://schemas.openxmlformats.org/officeDocument/2006/relationships" r:embed="rId18"/>
        <a:stretch>
          <a:fillRect/>
        </a:stretch>
      </xdr:blipFill>
      <xdr:spPr>
        <a:xfrm>
          <a:off x="4501007" y="1069639"/>
          <a:ext cx="983065" cy="228620"/>
        </a:xfrm>
        <a:prstGeom prst="rect">
          <a:avLst/>
        </a:prstGeom>
      </xdr:spPr>
    </xdr:pic>
    <xdr:clientData/>
  </xdr:twoCellAnchor>
  <xdr:twoCellAnchor>
    <xdr:from>
      <xdr:col>9</xdr:col>
      <xdr:colOff>132521</xdr:colOff>
      <xdr:row>5</xdr:row>
      <xdr:rowOff>146721</xdr:rowOff>
    </xdr:from>
    <xdr:to>
      <xdr:col>11</xdr:col>
      <xdr:colOff>94657</xdr:colOff>
      <xdr:row>6</xdr:row>
      <xdr:rowOff>170384</xdr:rowOff>
    </xdr:to>
    <xdr:sp macro="" textlink="">
      <xdr:nvSpPr>
        <xdr:cNvPr id="74" name="TextBox 73">
          <a:extLst>
            <a:ext uri="{FF2B5EF4-FFF2-40B4-BE49-F238E27FC236}">
              <a16:creationId xmlns:a16="http://schemas.microsoft.com/office/drawing/2014/main" id="{95154079-C4E0-8A09-1543-11678B62E243}"/>
            </a:ext>
          </a:extLst>
        </xdr:cNvPr>
        <xdr:cNvSpPr txBox="1"/>
      </xdr:nvSpPr>
      <xdr:spPr>
        <a:xfrm>
          <a:off x="5627440" y="1069640"/>
          <a:ext cx="1183229" cy="208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Gender</a:t>
          </a:r>
          <a:r>
            <a:rPr lang="en-IN" sz="800" baseline="0"/>
            <a:t> </a:t>
          </a:r>
          <a:r>
            <a:rPr lang="en-IN" sz="700" baseline="0"/>
            <a:t>Wise</a:t>
          </a:r>
          <a:r>
            <a:rPr lang="en-IN" sz="800" baseline="0"/>
            <a:t> </a:t>
          </a:r>
          <a:r>
            <a:rPr lang="en-IN" sz="700" baseline="0"/>
            <a:t>Analysis</a:t>
          </a:r>
          <a:endParaRPr lang="en-IN" sz="700"/>
        </a:p>
      </xdr:txBody>
    </xdr:sp>
    <xdr:clientData/>
  </xdr:twoCellAnchor>
  <xdr:twoCellAnchor>
    <xdr:from>
      <xdr:col>7</xdr:col>
      <xdr:colOff>118323</xdr:colOff>
      <xdr:row>7</xdr:row>
      <xdr:rowOff>70994</xdr:rowOff>
    </xdr:from>
    <xdr:to>
      <xdr:col>10</xdr:col>
      <xdr:colOff>582149</xdr:colOff>
      <xdr:row>15</xdr:row>
      <xdr:rowOff>33131</xdr:rowOff>
    </xdr:to>
    <xdr:graphicFrame macro="">
      <xdr:nvGraphicFramePr>
        <xdr:cNvPr id="76" name="Chart 75">
          <a:extLst>
            <a:ext uri="{FF2B5EF4-FFF2-40B4-BE49-F238E27FC236}">
              <a16:creationId xmlns:a16="http://schemas.microsoft.com/office/drawing/2014/main" id="{328B6908-A905-413D-B267-6E5E5EE97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350236</xdr:colOff>
      <xdr:row>14</xdr:row>
      <xdr:rowOff>151453</xdr:rowOff>
    </xdr:from>
    <xdr:to>
      <xdr:col>11</xdr:col>
      <xdr:colOff>9466</xdr:colOff>
      <xdr:row>17</xdr:row>
      <xdr:rowOff>61528</xdr:rowOff>
    </xdr:to>
    <xdr:sp macro="" textlink="">
      <xdr:nvSpPr>
        <xdr:cNvPr id="77" name="TextBox 76">
          <a:extLst>
            <a:ext uri="{FF2B5EF4-FFF2-40B4-BE49-F238E27FC236}">
              <a16:creationId xmlns:a16="http://schemas.microsoft.com/office/drawing/2014/main" id="{4F84A562-ADDE-2828-574B-B5F0A15E1E2B}"/>
            </a:ext>
          </a:extLst>
        </xdr:cNvPr>
        <xdr:cNvSpPr txBox="1"/>
      </xdr:nvSpPr>
      <xdr:spPr>
        <a:xfrm>
          <a:off x="4624062" y="2735627"/>
          <a:ext cx="2101416" cy="46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    No.</a:t>
          </a:r>
          <a:r>
            <a:rPr lang="en-IN" sz="800" baseline="0"/>
            <a:t> of Patient by Department Referal </a:t>
          </a:r>
          <a:endParaRPr lang="en-IN" sz="800"/>
        </a:p>
      </xdr:txBody>
    </xdr:sp>
    <xdr:clientData/>
  </xdr:twoCellAnchor>
  <xdr:twoCellAnchor editAs="oneCell">
    <xdr:from>
      <xdr:col>5</xdr:col>
      <xdr:colOff>265043</xdr:colOff>
      <xdr:row>1</xdr:row>
      <xdr:rowOff>4732</xdr:rowOff>
    </xdr:from>
    <xdr:to>
      <xdr:col>7</xdr:col>
      <xdr:colOff>9466</xdr:colOff>
      <xdr:row>2</xdr:row>
      <xdr:rowOff>180148</xdr:rowOff>
    </xdr:to>
    <mc:AlternateContent xmlns:mc="http://schemas.openxmlformats.org/markup-compatibility/2006" xmlns:a14="http://schemas.microsoft.com/office/drawing/2010/main">
      <mc:Choice Requires="a14">
        <xdr:graphicFrame macro="">
          <xdr:nvGraphicFramePr>
            <xdr:cNvPr id="79" name="Date (Year)">
              <a:extLst>
                <a:ext uri="{FF2B5EF4-FFF2-40B4-BE49-F238E27FC236}">
                  <a16:creationId xmlns:a16="http://schemas.microsoft.com/office/drawing/2014/main" id="{5B9A5E2A-2D42-4765-BE10-714F647547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17776" y="189316"/>
              <a:ext cx="965516"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502920</xdr:colOff>
      <xdr:row>18</xdr:row>
      <xdr:rowOff>22860</xdr:rowOff>
    </xdr:to>
    <xdr:graphicFrame macro="">
      <xdr:nvGraphicFramePr>
        <xdr:cNvPr id="2" name="Chart 1">
          <a:extLst>
            <a:ext uri="{FF2B5EF4-FFF2-40B4-BE49-F238E27FC236}">
              <a16:creationId xmlns:a16="http://schemas.microsoft.com/office/drawing/2014/main" id="{0921BBD9-189E-41E6-B83E-663B51D9F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45720</xdr:colOff>
      <xdr:row>0</xdr:row>
      <xdr:rowOff>0</xdr:rowOff>
    </xdr:from>
    <xdr:to>
      <xdr:col>9</xdr:col>
      <xdr:colOff>434340</xdr:colOff>
      <xdr:row>2</xdr:row>
      <xdr:rowOff>22860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A4C1881-4404-2A36-16BA-D965396218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32120" y="0"/>
          <a:ext cx="388620" cy="388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144780</xdr:colOff>
      <xdr:row>17</xdr:row>
      <xdr:rowOff>99060</xdr:rowOff>
    </xdr:to>
    <xdr:graphicFrame macro="">
      <xdr:nvGraphicFramePr>
        <xdr:cNvPr id="2" name="Chart 1">
          <a:extLst>
            <a:ext uri="{FF2B5EF4-FFF2-40B4-BE49-F238E27FC236}">
              <a16:creationId xmlns:a16="http://schemas.microsoft.com/office/drawing/2014/main" id="{177B840A-766C-41EF-89E3-FA567C063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0.92828</cdr:x>
      <cdr:y>0</cdr:y>
    </cdr:from>
    <cdr:to>
      <cdr:x>0.99594</cdr:x>
      <cdr:y>0.14327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03D3DF2-5600-28D2-7D5E-86037DB503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227320" y="0"/>
          <a:ext cx="381000" cy="3810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0</xdr:colOff>
      <xdr:row>2</xdr:row>
      <xdr:rowOff>0</xdr:rowOff>
    </xdr:from>
    <xdr:to>
      <xdr:col>10</xdr:col>
      <xdr:colOff>449580</xdr:colOff>
      <xdr:row>18</xdr:row>
      <xdr:rowOff>76200</xdr:rowOff>
    </xdr:to>
    <xdr:graphicFrame macro="">
      <xdr:nvGraphicFramePr>
        <xdr:cNvPr id="2" name="Chart 1">
          <a:extLst>
            <a:ext uri="{FF2B5EF4-FFF2-40B4-BE49-F238E27FC236}">
              <a16:creationId xmlns:a16="http://schemas.microsoft.com/office/drawing/2014/main" id="{F613FC95-A067-4C73-8136-C7E3782B9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1</xdr:row>
      <xdr:rowOff>175260</xdr:rowOff>
    </xdr:from>
    <xdr:to>
      <xdr:col>10</xdr:col>
      <xdr:colOff>464820</xdr:colOff>
      <xdr:row>3</xdr:row>
      <xdr:rowOff>175260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95B2043-FC75-89CE-F9E3-005A7123CE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95060" y="358140"/>
          <a:ext cx="365760" cy="3657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6620373" createdVersion="5" refreshedVersion="8" minRefreshableVersion="3" recordCount="0" supportSubquery="1" supportAdvancedDrill="1" xr:uid="{31DAB95A-A223-43D1-BE3B-9DC372BD6DF8}">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6851851" createdVersion="5" refreshedVersion="8" minRefreshableVersion="3" recordCount="0" supportSubquery="1" supportAdvancedDrill="1" xr:uid="{C8A5F5C9-B3B2-4941-9659-B9328F43DFF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7430559" createdVersion="5" refreshedVersion="8" minRefreshableVersion="3" recordCount="0" supportSubquery="1" supportAdvancedDrill="1" xr:uid="{570AF1E3-33A1-4987-9CEB-1A3C5219560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8009259" createdVersion="5" refreshedVersion="8" minRefreshableVersion="3" recordCount="0" supportSubquery="1" supportAdvancedDrill="1" xr:uid="{79E1E135-5DBD-4933-B31E-893D4E4DD48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858796" createdVersion="5" refreshedVersion="8" minRefreshableVersion="3" recordCount="0" supportSubquery="1" supportAdvancedDrill="1" xr:uid="{38D28EBD-598D-43F8-966E-069A558E26D4}">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8935183" createdVersion="5" refreshedVersion="8" minRefreshableVersion="3" recordCount="0" supportSubquery="1" supportAdvancedDrill="1" xr:uid="{BEE3B5F9-DF5D-4253-9DCE-B042B5309469}">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9050929" createdVersion="5" refreshedVersion="8" minRefreshableVersion="3" recordCount="0" supportSubquery="1" supportAdvancedDrill="1" xr:uid="{15275F1C-D4CC-4C4A-8621-0603D863C239}">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79745368" createdVersion="5" refreshedVersion="8" minRefreshableVersion="3" recordCount="0" supportSubquery="1" supportAdvancedDrill="1" xr:uid="{8211FCBF-8F65-46E5-A64A-6DD4BDB31F9B}">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unt="1">
        <s v="Sep"/>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8020833" createdVersion="5" refreshedVersion="8" minRefreshableVersion="3" recordCount="0" supportSubquery="1" supportAdvancedDrill="1" xr:uid="{A4D8F9B3-A2B3-4899-9A3F-2DFF018CFCA5}">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unt="1">
        <s v="Sep"/>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80787038" createdVersion="5" refreshedVersion="8" minRefreshableVersion="3" recordCount="0" supportSubquery="1" supportAdvancedDrill="1" xr:uid="{8C388EBC-E0C1-4336-AED7-EF72F5EBDEB6}">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unt="1">
        <s v="Sep"/>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8125" createdVersion="5" refreshedVersion="8" minRefreshableVersion="3" recordCount="0" supportSubquery="1" supportAdvancedDrill="1" xr:uid="{8600A519-144D-4929-979F-83B2D7758C1A}">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Satisfaction Score]" caption="Count of Patient Satisfaction Score" numFmtId="0" hierarchy="29" level="32767"/>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745818287" createdVersion="5" refreshedVersion="8" minRefreshableVersion="3" recordCount="0" supportSubquery="1" supportAdvancedDrill="1" xr:uid="{6771089B-CB89-419A-990B-7E5DFD0091E5}">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4.753202199077" createdVersion="3" refreshedVersion="8" minRefreshableVersion="3" recordCount="0" supportSubquery="1" supportAdvancedDrill="1" xr:uid="{BA76C58E-70A6-45EB-B075-3D3CE9476601}">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744400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9C8625-EBA0-4513-A4C7-E5039D8041ED}" name="PivotTable7" cacheId="9" applyNumberFormats="0" applyBorderFormats="0" applyFontFormats="0" applyPatternFormats="0" applyAlignmentFormats="0" applyWidthHeightFormats="1" dataCaption="Values" tag="04c05c13-5897-4d68-834f-e53488612407" updatedVersion="8" minRefreshableVersion="3" subtotalHiddenItems="1" itemPrintTitles="1" createdVersion="5" indent="0" outline="1" outlineData="1" multipleFieldFilters="0" chartFormat="23">
  <location ref="M5:N37" firstHeaderRow="1" firstDataRow="1" firstDataCol="1"/>
  <pivotFields count="4">
    <pivotField axis="axisRow" allDrilled="1" subtotalTop="0" showAll="0" dataSourceSort="1" defaultSubtotal="0">
      <items count="3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Satisfaction Score" fld="2" subtotal="average" baseField="1" baseItem="0"/>
  </dataFields>
  <formats count="2">
    <format dxfId="1">
      <pivotArea collapsedLevelsAreSubtotals="1" fieldPosition="0">
        <references count="2">
          <reference field="0" count="0"/>
          <reference field="1" count="0" selected="0"/>
        </references>
      </pivotArea>
    </format>
    <format dxfId="0">
      <pivotArea grandRow="1"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EB28F-F8FB-4B1F-88A5-D478FD5B8541}" name="PivotTable11" cacheId="3" applyNumberFormats="0" applyBorderFormats="0" applyFontFormats="0" applyPatternFormats="0" applyAlignmentFormats="0" applyWidthHeightFormats="1" dataCaption="Values" tag="cf1c0b8e-a8b8-4d67-b80c-6e820ab7eae4" updatedVersion="8" minRefreshableVersion="3" itemPrintTitles="1" createdVersion="5" indent="0" outline="1" outlineData="1" multipleFieldFilters="0" chartFormat="25">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6CD959-D7BD-41EF-B824-16848DB1E52A}" name="PivotTable6" cacheId="8" applyNumberFormats="0" applyBorderFormats="0" applyFontFormats="0" applyPatternFormats="0" applyAlignmentFormats="0" applyWidthHeightFormats="1" dataCaption="Values" tag="b86acb70-ba6d-47d7-8572-e4d04845f706" updatedVersion="8" minRefreshableVersion="3" subtotalHiddenItems="1" itemPrintTitles="1" createdVersion="5" indent="0" outline="1" outlineData="1" multipleFieldFilters="0" chartFormat="17">
  <location ref="I5:J37" firstHeaderRow="1" firstDataRow="1" firstDataCol="1"/>
  <pivotFields count="4">
    <pivotField axis="axisRow" allDrilled="1" subtotalTop="0" showAll="0" dataSourceSort="1" defaultSubtotal="0">
      <items count="3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Average of Patient Waittime" fld="2" subtotal="average" baseField="1" baseItem="0"/>
  </dataFields>
  <formats count="2">
    <format dxfId="4">
      <pivotArea collapsedLevelsAreSubtotals="1" fieldPosition="0">
        <references count="2">
          <reference field="0" count="0"/>
          <reference field="1" count="0" selected="0"/>
        </references>
      </pivotArea>
    </format>
    <format dxfId="3">
      <pivotArea grandRow="1"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2808B-A9A5-4E39-974D-6402CC352AE5}" name="PivotTable5" cacheId="7" applyNumberFormats="0" applyBorderFormats="0" applyFontFormats="0" applyPatternFormats="0" applyAlignmentFormats="0" applyWidthHeightFormats="1" dataCaption="Values" tag="446d4a8c-e534-4146-88cc-877ca0f5df77" updatedVersion="8" minRefreshableVersion="3" subtotalHiddenItems="1" itemPrintTitles="1" createdVersion="5" indent="0" outline="1" outlineData="1" multipleFieldFilters="0" chartFormat="8">
  <location ref="C4:D36" firstHeaderRow="1" firstDataRow="1" firstDataCol="1"/>
  <pivotFields count="4">
    <pivotField dataField="1" subtotalTop="0" showAll="0" defaultSubtotal="0"/>
    <pivotField axis="axisRow" allDrilled="1" subtotalTop="0" showAll="0" dataSourceSort="1" defaultSubtotal="0">
      <items count="3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4CFD20-D53F-415E-A9EA-AC691A1238CF}" name="PivotTable10" cacheId="2" applyNumberFormats="0" applyBorderFormats="0" applyFontFormats="0" applyPatternFormats="0" applyAlignmentFormats="0" applyWidthHeightFormats="1" dataCaption="Values" tag="f47443d0-49c6-4ac1-b90a-3fa7dc95e224" updatedVersion="8" minRefreshableVersion="3" itemPrintTitles="1" createdVersion="5" indent="0" outline="1" outlineData="1" multipleFieldFilters="0" chartFormat="17">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83C6B-1361-4DA4-83F7-327950E1A94D}" name="PivotTable4" cacheId="6" applyNumberFormats="0" applyBorderFormats="0" applyFontFormats="0" applyPatternFormats="0" applyAlignmentFormats="0" applyWidthHeightFormats="1" dataCaption="Values" tag="046a98aa-cbbb-4a9c-839d-10ad28d78d9e"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6F21A7-0CFB-4150-9853-CEBBEDE7E700}" name="PivotTable9" cacheId="11" applyNumberFormats="0" applyBorderFormats="0" applyFontFormats="0" applyPatternFormats="0" applyAlignmentFormats="0" applyWidthHeightFormats="1" dataCaption="Values" tag="37a7a3b2-d97d-44d9-a823-1141e73624f7" updatedVersion="8" minRefreshableVersion="3" itemPrintTitles="1" createdVersion="5" indent="0" outline="1" outlineData="1" multipleFieldFilters="0" chartFormat="4">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17B485-B4E1-4588-9C7F-BBB2310CE947}" name="PivotTable3" cacheId="5" applyNumberFormats="0" applyBorderFormats="0" applyFontFormats="0" applyPatternFormats="0" applyAlignmentFormats="0" applyWidthHeightFormats="1" dataCaption="Values" tag="43485a55-bff7-4ebc-9ad4-61a6f90e0f08"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1DC37E-0E78-49CB-A602-D8518E470371}" name="PivotTable8" cacheId="10" applyNumberFormats="0" applyBorderFormats="0" applyFontFormats="0" applyPatternFormats="0" applyAlignmentFormats="0" applyWidthHeightFormats="1" dataCaption="Values" tag="9c27bf70-8ccf-48d6-8686-2bb4f8dbca3d" updatedVersion="8" minRefreshableVersion="3" itemPrintTitles="1" createdVersion="5" indent="0" outline="1" outlineData="1" multipleFieldFilters="0" chartFormat="1">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Count of Patient Satisfaction Score" fld="2" subtotal="count" baseField="1" baseItem="0"/>
    <dataField name="Count of Patient Admission Flag" fld="3" subtotal="count" showDataAs="percentOfTotal" baseField="0" baseItem="0" numFmtId="10"/>
  </dataFields>
  <formats count="3">
    <format dxfId="12">
      <pivotArea outline="0" collapsedLevelsAreSubtotals="1" fieldPosition="0"/>
    </format>
    <format dxfId="11">
      <pivotArea outline="0" fieldPosition="0">
        <references count="1">
          <reference field="4294967294" count="1">
            <x v="1"/>
          </reference>
        </references>
      </pivotArea>
    </format>
    <format dxfId="10">
      <pivotArea collapsedLevelsAreSubtotals="1" fieldPosition="0">
        <references count="2">
          <reference field="4294967294" count="1" selected="0">
            <x v="0"/>
          </reference>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94E3F5-8E73-4284-BC10-EE03777DE727}" name="PivotTable14" cacheId="0" applyNumberFormats="0" applyBorderFormats="0" applyFontFormats="0" applyPatternFormats="0" applyAlignmentFormats="0" applyWidthHeightFormats="1" dataCaption="Values" tag="c74676c4-88a9-4286-b039-e550751e0746" updatedVersion="8" minRefreshableVersion="3" subtotalHiddenItems="1" itemPrintTitles="1" createdVersion="5" indent="0" outline="1" outlineData="1" multipleFieldFilters="0" chartFormat="28">
  <location ref="A89:A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
      <pivotArea outline="0" collapsedLevelsAreSubtotals="1" fieldPosition="0"/>
    </format>
  </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446E2B-5BAF-4769-B896-E324B2FCB31E}" name="PivotTable12" cacheId="4" applyNumberFormats="0" applyBorderFormats="0" applyFontFormats="0" applyPatternFormats="0" applyAlignmentFormats="0" applyWidthHeightFormats="1" dataCaption="Values" tag="e39e0fe2-b0f1-45f5-ac63-9435558604f7" updatedVersion="8" minRefreshableVersion="3" itemPrintTitles="1" createdVersion="5" indent="0" outline="1" outlineData="1" multipleFieldFilters="0" chartFormat="28">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1">
    <chartFormat chart="2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385365-6C0D-40E6-8E14-7441F470E308}" name="PivotTable1" cacheId="1" applyNumberFormats="0" applyBorderFormats="0" applyFontFormats="0" applyPatternFormats="0" applyAlignmentFormats="0" applyWidthHeightFormats="1" dataCaption="Values" tag="251165ab-3b88-4dae-8e35-39ae53d21147"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86094F8-027F-4A1E-AAFA-CE3BABE4EAE8}" sourceName="[Calender_Table].[Date (Month)]">
  <pivotTables>
    <pivotTable tabId="1" name="PivotTable5"/>
    <pivotTable tabId="1" name="PivotTable1"/>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4"/>
  </pivotTables>
  <data>
    <olap pivotCacheId="744400286">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41C91CE-3E4C-412B-8B05-42D48C885597}" sourceName="[Calender_Table].[Date (Year)]">
  <pivotTables>
    <pivotTable tabId="1" name="PivotTable14"/>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74440028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F1DA52E-859B-4D41-95E3-F42142B2317B}" cache="Slicer_Date__Month" caption="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E435CCD2-DD25-4450-9CDC-648AA8CCF76D}" cache="Slicer_Date__Month" caption="Date (Month)" showCaption="0" level="1" style="My Style " rowHeight="144000"/>
  <slicer name="Date (Year)" xr10:uid="{1A280155-3182-421A-A334-FE56D5A60CE1}" cache="Slicer_Date__Year" caption="Date (Year)" columnCount="2" showCaption="0" level="1" style="My Style " rowHeight="10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01D5-A1DF-4698-A936-78E42EC97068}">
  <dimension ref="A3:N91"/>
  <sheetViews>
    <sheetView topLeftCell="A19" zoomScale="146" workbookViewId="0">
      <selection activeCell="A91" sqref="A91"/>
    </sheetView>
  </sheetViews>
  <sheetFormatPr defaultRowHeight="14.4" x14ac:dyDescent="0.3"/>
  <cols>
    <col min="1" max="1" width="16.6640625" customWidth="1"/>
    <col min="2" max="2" width="14.33203125" customWidth="1"/>
    <col min="3" max="3" width="9.88671875" customWidth="1"/>
    <col min="4" max="4" width="19.88671875" customWidth="1"/>
    <col min="9" max="9" width="17.21875" customWidth="1"/>
    <col min="10" max="10" width="23.33203125" customWidth="1"/>
    <col min="13" max="13" width="19" customWidth="1"/>
    <col min="14" max="14" width="26.44140625" customWidth="1"/>
  </cols>
  <sheetData>
    <row r="3" spans="1:14" x14ac:dyDescent="0.3">
      <c r="A3" t="s">
        <v>2</v>
      </c>
    </row>
    <row r="4" spans="1:14" x14ac:dyDescent="0.3">
      <c r="A4" t="s">
        <v>3</v>
      </c>
      <c r="C4" s="1" t="s">
        <v>0</v>
      </c>
      <c r="D4" t="s">
        <v>3</v>
      </c>
      <c r="M4" t="s">
        <v>38</v>
      </c>
    </row>
    <row r="5" spans="1:14" x14ac:dyDescent="0.3">
      <c r="A5">
        <v>469</v>
      </c>
      <c r="C5" s="2" t="s">
        <v>7</v>
      </c>
      <c r="I5" s="1" t="s">
        <v>0</v>
      </c>
      <c r="J5" t="s">
        <v>4</v>
      </c>
      <c r="M5" s="1" t="s">
        <v>0</v>
      </c>
      <c r="N5" t="s">
        <v>5</v>
      </c>
    </row>
    <row r="6" spans="1:14" x14ac:dyDescent="0.3">
      <c r="C6" s="5" t="s">
        <v>8</v>
      </c>
      <c r="D6">
        <v>12</v>
      </c>
      <c r="I6" s="2" t="s">
        <v>7</v>
      </c>
      <c r="M6" s="2" t="s">
        <v>7</v>
      </c>
    </row>
    <row r="7" spans="1:14" x14ac:dyDescent="0.3">
      <c r="C7" s="5" t="s">
        <v>9</v>
      </c>
      <c r="D7">
        <v>18</v>
      </c>
      <c r="I7" s="5" t="s">
        <v>8</v>
      </c>
      <c r="J7" s="3">
        <v>29.833333333333332</v>
      </c>
      <c r="M7" s="5" t="s">
        <v>8</v>
      </c>
      <c r="N7" s="3">
        <v>3.5</v>
      </c>
    </row>
    <row r="8" spans="1:14" x14ac:dyDescent="0.3">
      <c r="A8" t="s">
        <v>4</v>
      </c>
      <c r="C8" s="5" t="s">
        <v>10</v>
      </c>
      <c r="D8">
        <v>17</v>
      </c>
      <c r="I8" s="5" t="s">
        <v>9</v>
      </c>
      <c r="J8" s="3">
        <v>34.777777777777779</v>
      </c>
      <c r="M8" s="5" t="s">
        <v>9</v>
      </c>
      <c r="N8" s="3">
        <v>5.8</v>
      </c>
    </row>
    <row r="9" spans="1:14" x14ac:dyDescent="0.3">
      <c r="A9" s="3">
        <v>34.268656716417908</v>
      </c>
      <c r="C9" s="5" t="s">
        <v>11</v>
      </c>
      <c r="D9">
        <v>15</v>
      </c>
      <c r="I9" s="5" t="s">
        <v>10</v>
      </c>
      <c r="J9" s="3">
        <v>35</v>
      </c>
      <c r="M9" s="5" t="s">
        <v>10</v>
      </c>
      <c r="N9" s="3">
        <v>3.6</v>
      </c>
    </row>
    <row r="10" spans="1:14" x14ac:dyDescent="0.3">
      <c r="C10" s="5" t="s">
        <v>12</v>
      </c>
      <c r="D10">
        <v>13</v>
      </c>
      <c r="I10" s="5" t="s">
        <v>11</v>
      </c>
      <c r="J10" s="3">
        <v>34.06666666666667</v>
      </c>
      <c r="M10" s="5" t="s">
        <v>11</v>
      </c>
      <c r="N10" s="3">
        <v>7.25</v>
      </c>
    </row>
    <row r="11" spans="1:14" x14ac:dyDescent="0.3">
      <c r="C11" s="5" t="s">
        <v>13</v>
      </c>
      <c r="D11">
        <v>11</v>
      </c>
      <c r="I11" s="5" t="s">
        <v>12</v>
      </c>
      <c r="J11" s="3">
        <v>34.846153846153847</v>
      </c>
      <c r="M11" s="5" t="s">
        <v>12</v>
      </c>
      <c r="N11" s="3">
        <v>4</v>
      </c>
    </row>
    <row r="12" spans="1:14" x14ac:dyDescent="0.3">
      <c r="A12" t="s">
        <v>5</v>
      </c>
      <c r="C12" s="5" t="s">
        <v>14</v>
      </c>
      <c r="D12">
        <v>14</v>
      </c>
      <c r="I12" s="5" t="s">
        <v>13</v>
      </c>
      <c r="J12" s="3">
        <v>36.81818181818182</v>
      </c>
      <c r="M12" s="5" t="s">
        <v>13</v>
      </c>
      <c r="N12" s="3">
        <v>6.2</v>
      </c>
    </row>
    <row r="13" spans="1:14" x14ac:dyDescent="0.3">
      <c r="A13" s="3">
        <v>4.9837398373983737</v>
      </c>
      <c r="C13" s="5" t="s">
        <v>15</v>
      </c>
      <c r="D13">
        <v>17</v>
      </c>
      <c r="I13" s="5" t="s">
        <v>14</v>
      </c>
      <c r="J13" s="3">
        <v>34.5</v>
      </c>
      <c r="M13" s="5" t="s">
        <v>14</v>
      </c>
      <c r="N13" s="3">
        <v>6.5</v>
      </c>
    </row>
    <row r="14" spans="1:14" x14ac:dyDescent="0.3">
      <c r="C14" s="5" t="s">
        <v>16</v>
      </c>
      <c r="D14">
        <v>15</v>
      </c>
      <c r="I14" s="5" t="s">
        <v>15</v>
      </c>
      <c r="J14" s="3">
        <v>32.882352941176471</v>
      </c>
      <c r="M14" s="5" t="s">
        <v>15</v>
      </c>
      <c r="N14" s="3">
        <v>6</v>
      </c>
    </row>
    <row r="15" spans="1:14" x14ac:dyDescent="0.3">
      <c r="C15" s="5" t="s">
        <v>17</v>
      </c>
      <c r="D15">
        <v>16</v>
      </c>
      <c r="I15" s="5" t="s">
        <v>16</v>
      </c>
      <c r="J15" s="3">
        <v>43.466666666666669</v>
      </c>
      <c r="M15" s="5" t="s">
        <v>16</v>
      </c>
      <c r="N15" s="3">
        <v>1.5</v>
      </c>
    </row>
    <row r="16" spans="1:14" x14ac:dyDescent="0.3">
      <c r="C16" s="5" t="s">
        <v>18</v>
      </c>
      <c r="D16">
        <v>9</v>
      </c>
      <c r="I16" s="5" t="s">
        <v>17</v>
      </c>
      <c r="J16" s="3">
        <v>28.375</v>
      </c>
      <c r="M16" s="5" t="s">
        <v>17</v>
      </c>
      <c r="N16" s="3">
        <v>2.5</v>
      </c>
    </row>
    <row r="17" spans="3:14" x14ac:dyDescent="0.3">
      <c r="C17" s="5" t="s">
        <v>19</v>
      </c>
      <c r="D17">
        <v>10</v>
      </c>
      <c r="I17" s="5" t="s">
        <v>18</v>
      </c>
      <c r="J17" s="3">
        <v>34.777777777777779</v>
      </c>
      <c r="M17" s="5" t="s">
        <v>18</v>
      </c>
      <c r="N17" s="3">
        <v>7.25</v>
      </c>
    </row>
    <row r="18" spans="3:14" x14ac:dyDescent="0.3">
      <c r="C18" s="5" t="s">
        <v>20</v>
      </c>
      <c r="D18">
        <v>12</v>
      </c>
      <c r="I18" s="5" t="s">
        <v>19</v>
      </c>
      <c r="J18" s="3">
        <v>35.200000000000003</v>
      </c>
      <c r="M18" s="5" t="s">
        <v>19</v>
      </c>
      <c r="N18" s="3">
        <v>1.5</v>
      </c>
    </row>
    <row r="19" spans="3:14" x14ac:dyDescent="0.3">
      <c r="C19" s="5" t="s">
        <v>21</v>
      </c>
      <c r="D19">
        <v>13</v>
      </c>
      <c r="I19" s="5" t="s">
        <v>20</v>
      </c>
      <c r="J19" s="3">
        <v>32</v>
      </c>
      <c r="M19" s="5" t="s">
        <v>20</v>
      </c>
      <c r="N19" s="3">
        <v>5</v>
      </c>
    </row>
    <row r="20" spans="3:14" x14ac:dyDescent="0.3">
      <c r="C20" s="5" t="s">
        <v>22</v>
      </c>
      <c r="D20">
        <v>26</v>
      </c>
      <c r="I20" s="5" t="s">
        <v>21</v>
      </c>
      <c r="J20" s="3">
        <v>37.615384615384613</v>
      </c>
      <c r="M20" s="5" t="s">
        <v>21</v>
      </c>
      <c r="N20" s="3">
        <v>6.5</v>
      </c>
    </row>
    <row r="21" spans="3:14" x14ac:dyDescent="0.3">
      <c r="C21" s="5" t="s">
        <v>23</v>
      </c>
      <c r="D21">
        <v>22</v>
      </c>
      <c r="I21" s="5" t="s">
        <v>22</v>
      </c>
      <c r="J21" s="3">
        <v>37.384615384615387</v>
      </c>
      <c r="M21" s="5" t="s">
        <v>22</v>
      </c>
      <c r="N21" s="3">
        <v>4.1111111111111107</v>
      </c>
    </row>
    <row r="22" spans="3:14" x14ac:dyDescent="0.3">
      <c r="C22" s="5" t="s">
        <v>24</v>
      </c>
      <c r="D22">
        <v>16</v>
      </c>
      <c r="I22" s="5" t="s">
        <v>23</v>
      </c>
      <c r="J22" s="3">
        <v>33.954545454545453</v>
      </c>
      <c r="M22" s="5" t="s">
        <v>23</v>
      </c>
      <c r="N22" s="3">
        <v>6.6</v>
      </c>
    </row>
    <row r="23" spans="3:14" x14ac:dyDescent="0.3">
      <c r="C23" s="5" t="s">
        <v>25</v>
      </c>
      <c r="D23">
        <v>12</v>
      </c>
      <c r="I23" s="5" t="s">
        <v>24</v>
      </c>
      <c r="J23" s="3">
        <v>32.5</v>
      </c>
      <c r="M23" s="5" t="s">
        <v>24</v>
      </c>
      <c r="N23" s="3">
        <v>5.2</v>
      </c>
    </row>
    <row r="24" spans="3:14" x14ac:dyDescent="0.3">
      <c r="C24" s="5" t="s">
        <v>26</v>
      </c>
      <c r="D24">
        <v>21</v>
      </c>
      <c r="I24" s="5" t="s">
        <v>25</v>
      </c>
      <c r="J24" s="3">
        <v>37.25</v>
      </c>
      <c r="M24" s="5" t="s">
        <v>25</v>
      </c>
      <c r="N24" s="3">
        <v>5.5</v>
      </c>
    </row>
    <row r="25" spans="3:14" x14ac:dyDescent="0.3">
      <c r="C25" s="5" t="s">
        <v>27</v>
      </c>
      <c r="D25">
        <v>12</v>
      </c>
      <c r="I25" s="5" t="s">
        <v>26</v>
      </c>
      <c r="J25" s="3">
        <v>34.047619047619051</v>
      </c>
      <c r="M25" s="5" t="s">
        <v>26</v>
      </c>
      <c r="N25" s="3">
        <v>3.3333333333333335</v>
      </c>
    </row>
    <row r="26" spans="3:14" x14ac:dyDescent="0.3">
      <c r="C26" s="5" t="s">
        <v>28</v>
      </c>
      <c r="D26">
        <v>15</v>
      </c>
      <c r="I26" s="5" t="s">
        <v>27</v>
      </c>
      <c r="J26" s="3">
        <v>34.583333333333336</v>
      </c>
      <c r="M26" s="5" t="s">
        <v>27</v>
      </c>
      <c r="N26" s="3">
        <v>5</v>
      </c>
    </row>
    <row r="27" spans="3:14" x14ac:dyDescent="0.3">
      <c r="C27" s="5" t="s">
        <v>29</v>
      </c>
      <c r="D27">
        <v>23</v>
      </c>
      <c r="I27" s="5" t="s">
        <v>28</v>
      </c>
      <c r="J27" s="3">
        <v>31</v>
      </c>
      <c r="M27" s="5" t="s">
        <v>28</v>
      </c>
      <c r="N27" s="3">
        <v>6.5</v>
      </c>
    </row>
    <row r="28" spans="3:14" x14ac:dyDescent="0.3">
      <c r="C28" s="5" t="s">
        <v>30</v>
      </c>
      <c r="D28">
        <v>15</v>
      </c>
      <c r="I28" s="5" t="s">
        <v>29</v>
      </c>
      <c r="J28" s="3">
        <v>33.347826086956523</v>
      </c>
      <c r="M28" s="5" t="s">
        <v>29</v>
      </c>
      <c r="N28" s="3">
        <v>3</v>
      </c>
    </row>
    <row r="29" spans="3:14" x14ac:dyDescent="0.3">
      <c r="C29" s="5" t="s">
        <v>31</v>
      </c>
      <c r="D29">
        <v>15</v>
      </c>
      <c r="I29" s="5" t="s">
        <v>30</v>
      </c>
      <c r="J29" s="3">
        <v>33.799999999999997</v>
      </c>
      <c r="M29" s="5" t="s">
        <v>30</v>
      </c>
      <c r="N29" s="3">
        <v>5.333333333333333</v>
      </c>
    </row>
    <row r="30" spans="3:14" x14ac:dyDescent="0.3">
      <c r="C30" s="5" t="s">
        <v>32</v>
      </c>
      <c r="D30">
        <v>14</v>
      </c>
      <c r="I30" s="5" t="s">
        <v>31</v>
      </c>
      <c r="J30" s="3">
        <v>32.466666666666669</v>
      </c>
      <c r="M30" s="5" t="s">
        <v>31</v>
      </c>
      <c r="N30" s="3">
        <v>7.333333333333333</v>
      </c>
    </row>
    <row r="31" spans="3:14" x14ac:dyDescent="0.3">
      <c r="C31" s="5" t="s">
        <v>33</v>
      </c>
      <c r="D31">
        <v>19</v>
      </c>
      <c r="I31" s="5" t="s">
        <v>32</v>
      </c>
      <c r="J31" s="3">
        <v>36.642857142857146</v>
      </c>
      <c r="M31" s="5" t="s">
        <v>32</v>
      </c>
      <c r="N31" s="3">
        <v>5.6</v>
      </c>
    </row>
    <row r="32" spans="3:14" x14ac:dyDescent="0.3">
      <c r="C32" s="5" t="s">
        <v>34</v>
      </c>
      <c r="D32">
        <v>17</v>
      </c>
      <c r="I32" s="5" t="s">
        <v>33</v>
      </c>
      <c r="J32" s="3">
        <v>32.631578947368418</v>
      </c>
      <c r="M32" s="5" t="s">
        <v>33</v>
      </c>
      <c r="N32" s="3">
        <v>4.4000000000000004</v>
      </c>
    </row>
    <row r="33" spans="1:14" x14ac:dyDescent="0.3">
      <c r="C33" s="5" t="s">
        <v>35</v>
      </c>
      <c r="D33">
        <v>16</v>
      </c>
      <c r="I33" s="5" t="s">
        <v>34</v>
      </c>
      <c r="J33" s="3">
        <v>32.176470588235297</v>
      </c>
      <c r="M33" s="5" t="s">
        <v>34</v>
      </c>
      <c r="N33" s="3">
        <v>4</v>
      </c>
    </row>
    <row r="34" spans="1:14" x14ac:dyDescent="0.3">
      <c r="C34" s="5" t="s">
        <v>36</v>
      </c>
      <c r="D34">
        <v>15</v>
      </c>
      <c r="I34" s="5" t="s">
        <v>35</v>
      </c>
      <c r="J34" s="3">
        <v>33.5</v>
      </c>
      <c r="M34" s="5" t="s">
        <v>35</v>
      </c>
      <c r="N34" s="3">
        <v>3</v>
      </c>
    </row>
    <row r="35" spans="1:14" x14ac:dyDescent="0.3">
      <c r="C35" s="5" t="s">
        <v>37</v>
      </c>
      <c r="D35">
        <v>19</v>
      </c>
      <c r="I35" s="5" t="s">
        <v>36</v>
      </c>
      <c r="J35" s="3">
        <v>33.200000000000003</v>
      </c>
      <c r="M35" s="5" t="s">
        <v>36</v>
      </c>
      <c r="N35" s="3">
        <v>5.666666666666667</v>
      </c>
    </row>
    <row r="36" spans="1:14" x14ac:dyDescent="0.3">
      <c r="C36" s="2" t="s">
        <v>1</v>
      </c>
      <c r="D36">
        <v>469</v>
      </c>
      <c r="I36" s="5" t="s">
        <v>37</v>
      </c>
      <c r="J36" s="3">
        <v>35.89473684210526</v>
      </c>
      <c r="M36" s="5" t="s">
        <v>37</v>
      </c>
      <c r="N36" s="3">
        <v>5.8571428571428568</v>
      </c>
    </row>
    <row r="37" spans="1:14" x14ac:dyDescent="0.3">
      <c r="I37" s="2" t="s">
        <v>1</v>
      </c>
      <c r="J37" s="3">
        <v>34.268656716417908</v>
      </c>
      <c r="M37" s="2" t="s">
        <v>1</v>
      </c>
      <c r="N37" s="3">
        <v>4.9837398373983737</v>
      </c>
    </row>
    <row r="39" spans="1:14" x14ac:dyDescent="0.3">
      <c r="A39" s="1" t="s">
        <v>0</v>
      </c>
      <c r="B39" t="s">
        <v>41</v>
      </c>
      <c r="C39" t="s">
        <v>42</v>
      </c>
    </row>
    <row r="40" spans="1:14" x14ac:dyDescent="0.3">
      <c r="A40" s="2" t="s">
        <v>39</v>
      </c>
      <c r="B40" s="9">
        <v>72</v>
      </c>
      <c r="C40" s="8">
        <v>0.53091684434968012</v>
      </c>
    </row>
    <row r="41" spans="1:14" x14ac:dyDescent="0.3">
      <c r="A41" s="2" t="s">
        <v>40</v>
      </c>
      <c r="B41" s="9">
        <v>51</v>
      </c>
      <c r="C41" s="8">
        <v>0.46908315565031983</v>
      </c>
    </row>
    <row r="42" spans="1:14" x14ac:dyDescent="0.3">
      <c r="A42" s="2" t="s">
        <v>1</v>
      </c>
      <c r="B42" s="3">
        <v>123</v>
      </c>
      <c r="C42" s="8">
        <v>1</v>
      </c>
    </row>
    <row r="47" spans="1:14" x14ac:dyDescent="0.3">
      <c r="A47" s="13" t="s">
        <v>46</v>
      </c>
      <c r="B47" s="13" t="s">
        <v>44</v>
      </c>
      <c r="C47" s="13" t="s">
        <v>43</v>
      </c>
      <c r="D47" s="13" t="s">
        <v>45</v>
      </c>
      <c r="E47" s="14"/>
    </row>
    <row r="48" spans="1:14" x14ac:dyDescent="0.3">
      <c r="A48" s="7" t="str">
        <f>A41</f>
        <v>Not Admitted</v>
      </c>
      <c r="B48" s="7">
        <f t="shared" ref="B48:C48" si="0">B41</f>
        <v>51</v>
      </c>
      <c r="C48" s="11">
        <f t="shared" si="0"/>
        <v>0.46908315565031983</v>
      </c>
      <c r="D48" s="7"/>
    </row>
    <row r="49" spans="1:5" x14ac:dyDescent="0.3">
      <c r="A49" s="7" t="str">
        <f>A40</f>
        <v>Admitted</v>
      </c>
      <c r="B49" s="12">
        <f>B40</f>
        <v>72</v>
      </c>
      <c r="C49" s="11">
        <f>C40</f>
        <v>0.53091684434968012</v>
      </c>
      <c r="D49" s="7"/>
      <c r="E49" s="14"/>
    </row>
    <row r="50" spans="1:5" x14ac:dyDescent="0.3">
      <c r="C50" s="10"/>
    </row>
    <row r="51" spans="1:5" x14ac:dyDescent="0.3">
      <c r="A51" t="s">
        <v>56</v>
      </c>
    </row>
    <row r="52" spans="1:5" x14ac:dyDescent="0.3">
      <c r="A52" s="1" t="s">
        <v>0</v>
      </c>
      <c r="B52" t="s">
        <v>55</v>
      </c>
    </row>
    <row r="53" spans="1:5" x14ac:dyDescent="0.3">
      <c r="A53" s="2" t="s">
        <v>47</v>
      </c>
      <c r="B53" s="3">
        <v>61</v>
      </c>
    </row>
    <row r="54" spans="1:5" x14ac:dyDescent="0.3">
      <c r="A54" s="2" t="s">
        <v>48</v>
      </c>
      <c r="B54" s="3">
        <v>56</v>
      </c>
    </row>
    <row r="55" spans="1:5" x14ac:dyDescent="0.3">
      <c r="A55" s="2" t="s">
        <v>49</v>
      </c>
      <c r="B55" s="3">
        <v>58</v>
      </c>
    </row>
    <row r="56" spans="1:5" x14ac:dyDescent="0.3">
      <c r="A56" s="2" t="s">
        <v>50</v>
      </c>
      <c r="B56" s="3">
        <v>56</v>
      </c>
    </row>
    <row r="57" spans="1:5" x14ac:dyDescent="0.3">
      <c r="A57" s="2" t="s">
        <v>51</v>
      </c>
      <c r="B57" s="3">
        <v>66</v>
      </c>
    </row>
    <row r="58" spans="1:5" x14ac:dyDescent="0.3">
      <c r="A58" s="2" t="s">
        <v>52</v>
      </c>
      <c r="B58" s="3">
        <v>62</v>
      </c>
    </row>
    <row r="59" spans="1:5" x14ac:dyDescent="0.3">
      <c r="A59" s="2" t="s">
        <v>53</v>
      </c>
      <c r="B59" s="3">
        <v>58</v>
      </c>
    </row>
    <row r="60" spans="1:5" x14ac:dyDescent="0.3">
      <c r="A60" s="2" t="s">
        <v>54</v>
      </c>
      <c r="B60" s="3">
        <v>52</v>
      </c>
    </row>
    <row r="61" spans="1:5" x14ac:dyDescent="0.3">
      <c r="A61" s="2" t="s">
        <v>1</v>
      </c>
      <c r="B61" s="3">
        <v>469</v>
      </c>
    </row>
    <row r="63" spans="1:5" x14ac:dyDescent="0.3">
      <c r="A63" s="2" t="s">
        <v>60</v>
      </c>
    </row>
    <row r="64" spans="1:5" x14ac:dyDescent="0.3">
      <c r="A64" s="1" t="s">
        <v>0</v>
      </c>
      <c r="B64" t="s">
        <v>59</v>
      </c>
    </row>
    <row r="65" spans="1:2" x14ac:dyDescent="0.3">
      <c r="A65" s="2" t="s">
        <v>58</v>
      </c>
      <c r="B65" s="9">
        <v>257</v>
      </c>
    </row>
    <row r="66" spans="1:2" x14ac:dyDescent="0.3">
      <c r="A66" s="2" t="s">
        <v>57</v>
      </c>
      <c r="B66" s="9">
        <v>212</v>
      </c>
    </row>
    <row r="67" spans="1:2" x14ac:dyDescent="0.3">
      <c r="A67" s="2" t="s">
        <v>1</v>
      </c>
      <c r="B67" s="3">
        <v>469</v>
      </c>
    </row>
    <row r="70" spans="1:2" x14ac:dyDescent="0.3">
      <c r="A70" s="2" t="s">
        <v>64</v>
      </c>
    </row>
    <row r="71" spans="1:2" x14ac:dyDescent="0.3">
      <c r="A71" s="1" t="s">
        <v>0</v>
      </c>
      <c r="B71" t="s">
        <v>63</v>
      </c>
    </row>
    <row r="72" spans="1:2" x14ac:dyDescent="0.3">
      <c r="A72" s="2" t="s">
        <v>61</v>
      </c>
      <c r="B72" s="3">
        <v>219</v>
      </c>
    </row>
    <row r="73" spans="1:2" x14ac:dyDescent="0.3">
      <c r="A73" s="2" t="s">
        <v>62</v>
      </c>
      <c r="B73" s="3">
        <v>250</v>
      </c>
    </row>
    <row r="74" spans="1:2" x14ac:dyDescent="0.3">
      <c r="A74" s="2" t="s">
        <v>1</v>
      </c>
      <c r="B74" s="3">
        <v>469</v>
      </c>
    </row>
    <row r="77" spans="1:2" x14ac:dyDescent="0.3">
      <c r="A77" s="1" t="s">
        <v>0</v>
      </c>
      <c r="B77" t="s">
        <v>73</v>
      </c>
    </row>
    <row r="78" spans="1:2" x14ac:dyDescent="0.3">
      <c r="A78" s="2" t="s">
        <v>72</v>
      </c>
      <c r="B78" s="9">
        <v>6</v>
      </c>
    </row>
    <row r="79" spans="1:2" x14ac:dyDescent="0.3">
      <c r="A79" s="2" t="s">
        <v>68</v>
      </c>
      <c r="B79" s="9">
        <v>7</v>
      </c>
    </row>
    <row r="80" spans="1:2" x14ac:dyDescent="0.3">
      <c r="A80" s="2" t="s">
        <v>66</v>
      </c>
      <c r="B80" s="9">
        <v>11</v>
      </c>
    </row>
    <row r="81" spans="1:2" x14ac:dyDescent="0.3">
      <c r="A81" s="2" t="s">
        <v>65</v>
      </c>
      <c r="B81" s="9">
        <v>13</v>
      </c>
    </row>
    <row r="82" spans="1:2" x14ac:dyDescent="0.3">
      <c r="A82" s="2" t="s">
        <v>71</v>
      </c>
      <c r="B82" s="9">
        <v>17</v>
      </c>
    </row>
    <row r="83" spans="1:2" x14ac:dyDescent="0.3">
      <c r="A83" s="2" t="s">
        <v>70</v>
      </c>
      <c r="B83" s="9">
        <v>48</v>
      </c>
    </row>
    <row r="84" spans="1:2" x14ac:dyDescent="0.3">
      <c r="A84" s="2" t="s">
        <v>67</v>
      </c>
      <c r="B84" s="9">
        <v>107</v>
      </c>
    </row>
    <row r="85" spans="1:2" x14ac:dyDescent="0.3">
      <c r="A85" s="2" t="s">
        <v>69</v>
      </c>
      <c r="B85" s="9">
        <v>260</v>
      </c>
    </row>
    <row r="86" spans="1:2" x14ac:dyDescent="0.3">
      <c r="A86" s="2" t="s">
        <v>1</v>
      </c>
      <c r="B86" s="3">
        <v>469</v>
      </c>
    </row>
    <row r="89" spans="1:2" x14ac:dyDescent="0.3">
      <c r="A89" s="1" t="s">
        <v>0</v>
      </c>
    </row>
    <row r="90" spans="1:2" x14ac:dyDescent="0.3">
      <c r="A90" s="2" t="s">
        <v>6</v>
      </c>
    </row>
    <row r="91" spans="1:2" x14ac:dyDescent="0.3">
      <c r="A91"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FC98-85E4-4E3B-8306-5F4F8FD59E6C}">
  <dimension ref="A1:X31"/>
  <sheetViews>
    <sheetView tabSelected="1" zoomScale="161" zoomScaleNormal="175" workbookViewId="0"/>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EF08-2222-4F66-BDE3-3448C2AF374B}">
  <dimension ref="B20"/>
  <sheetViews>
    <sheetView workbookViewId="0"/>
  </sheetViews>
  <sheetFormatPr defaultRowHeight="14.4" x14ac:dyDescent="0.3"/>
  <sheetData>
    <row r="20" spans="2:2" x14ac:dyDescent="0.3">
      <c r="B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7F03-53D1-4531-9DBA-F17088AF377E}">
  <dimension ref="A1:M22"/>
  <sheetViews>
    <sheetView workbookViewId="0">
      <selection activeCell="L7" sqref="L7"/>
    </sheetView>
  </sheetViews>
  <sheetFormatPr defaultRowHeight="14.4" x14ac:dyDescent="0.3"/>
  <sheetData>
    <row r="1" spans="1:13" x14ac:dyDescent="0.3">
      <c r="A1" s="7"/>
      <c r="B1" s="7"/>
      <c r="C1" s="7"/>
      <c r="D1" s="7"/>
      <c r="E1" s="7"/>
      <c r="F1" s="7"/>
      <c r="G1" s="7"/>
      <c r="H1" s="7"/>
      <c r="I1" s="7"/>
      <c r="J1" s="7"/>
      <c r="K1" s="7"/>
      <c r="L1" s="7"/>
      <c r="M1" s="7"/>
    </row>
    <row r="2" spans="1:13" x14ac:dyDescent="0.3">
      <c r="A2" s="7"/>
      <c r="B2" s="7"/>
      <c r="C2" s="7"/>
      <c r="D2" s="7"/>
      <c r="E2" s="7"/>
      <c r="F2" s="7"/>
      <c r="G2" s="7"/>
      <c r="H2" s="7"/>
      <c r="I2" s="7"/>
      <c r="J2" s="7"/>
      <c r="K2" s="7"/>
      <c r="L2" s="7"/>
      <c r="M2" s="7"/>
    </row>
    <row r="3" spans="1:13" x14ac:dyDescent="0.3">
      <c r="A3" s="7"/>
      <c r="B3" s="7"/>
      <c r="C3" s="7"/>
      <c r="D3" s="7"/>
      <c r="E3" s="7"/>
      <c r="F3" s="7"/>
      <c r="G3" s="7"/>
      <c r="H3" s="7"/>
      <c r="I3" s="7"/>
      <c r="J3" s="7"/>
      <c r="K3" s="7"/>
      <c r="L3" s="7"/>
      <c r="M3" s="7"/>
    </row>
    <row r="4" spans="1:13" x14ac:dyDescent="0.3">
      <c r="A4" s="7"/>
      <c r="B4" s="7"/>
      <c r="C4" s="7"/>
      <c r="D4" s="7"/>
      <c r="E4" s="7"/>
      <c r="F4" s="7"/>
      <c r="G4" s="7"/>
      <c r="H4" s="7"/>
      <c r="I4" s="7"/>
      <c r="J4" s="7"/>
      <c r="K4" s="7"/>
      <c r="L4" s="7"/>
      <c r="M4" s="7"/>
    </row>
    <row r="5" spans="1:13" x14ac:dyDescent="0.3">
      <c r="A5" s="7"/>
      <c r="B5" s="7"/>
      <c r="C5" s="7"/>
      <c r="D5" s="7"/>
      <c r="E5" s="7"/>
      <c r="F5" s="7"/>
      <c r="G5" s="7"/>
      <c r="H5" s="7"/>
      <c r="I5" s="7"/>
      <c r="J5" s="7"/>
      <c r="K5" s="7"/>
      <c r="L5" s="7"/>
      <c r="M5" s="7"/>
    </row>
    <row r="6" spans="1:13" x14ac:dyDescent="0.3">
      <c r="A6" s="7"/>
      <c r="B6" s="7"/>
      <c r="C6" s="7"/>
      <c r="D6" s="7"/>
      <c r="E6" s="7"/>
      <c r="F6" s="7"/>
      <c r="G6" s="7"/>
      <c r="H6" s="7"/>
      <c r="I6" s="7"/>
      <c r="J6" s="7"/>
      <c r="K6" s="7"/>
      <c r="L6" s="7"/>
      <c r="M6" s="7"/>
    </row>
    <row r="7" spans="1:13" x14ac:dyDescent="0.3">
      <c r="A7" s="7"/>
      <c r="B7" s="7"/>
      <c r="C7" s="7"/>
      <c r="D7" s="7"/>
      <c r="E7" s="7"/>
      <c r="F7" s="7"/>
      <c r="G7" s="7"/>
      <c r="H7" s="7"/>
      <c r="I7" s="7"/>
      <c r="J7" s="7"/>
      <c r="K7" s="7"/>
      <c r="L7" s="7"/>
      <c r="M7" s="7"/>
    </row>
    <row r="8" spans="1:13" x14ac:dyDescent="0.3">
      <c r="A8" s="7"/>
      <c r="B8" s="7"/>
      <c r="C8" s="7"/>
      <c r="D8" s="7"/>
      <c r="E8" s="7"/>
      <c r="F8" s="7"/>
      <c r="G8" s="7"/>
      <c r="H8" s="7"/>
      <c r="I8" s="7"/>
      <c r="J8" s="7"/>
      <c r="K8" s="7"/>
      <c r="L8" s="7"/>
      <c r="M8" s="7"/>
    </row>
    <row r="9" spans="1:13" x14ac:dyDescent="0.3">
      <c r="A9" s="7"/>
      <c r="B9" s="7"/>
      <c r="C9" s="7"/>
      <c r="D9" s="7"/>
      <c r="E9" s="7"/>
      <c r="F9" s="7"/>
      <c r="G9" s="7"/>
      <c r="H9" s="7"/>
      <c r="I9" s="7"/>
      <c r="J9" s="7"/>
      <c r="K9" s="7"/>
      <c r="L9" s="7"/>
      <c r="M9" s="7"/>
    </row>
    <row r="10" spans="1:13" x14ac:dyDescent="0.3">
      <c r="A10" s="7"/>
      <c r="B10" s="7"/>
      <c r="C10" s="7"/>
      <c r="D10" s="7"/>
      <c r="E10" s="7"/>
      <c r="F10" s="7"/>
      <c r="G10" s="7"/>
      <c r="H10" s="7"/>
      <c r="I10" s="7"/>
      <c r="J10" s="7"/>
      <c r="K10" s="7"/>
      <c r="L10" s="7"/>
      <c r="M10" s="7"/>
    </row>
    <row r="11" spans="1:13" x14ac:dyDescent="0.3">
      <c r="A11" s="7"/>
      <c r="B11" s="7"/>
      <c r="C11" s="7"/>
      <c r="D11" s="7"/>
      <c r="E11" s="7"/>
      <c r="F11" s="7"/>
      <c r="G11" s="7"/>
      <c r="H11" s="7"/>
      <c r="I11" s="7"/>
      <c r="J11" s="7"/>
      <c r="K11" s="7"/>
      <c r="L11" s="7"/>
      <c r="M11" s="7"/>
    </row>
    <row r="12" spans="1:13" x14ac:dyDescent="0.3">
      <c r="A12" s="7"/>
      <c r="B12" s="7"/>
      <c r="C12" s="7"/>
      <c r="D12" s="7"/>
      <c r="E12" s="7"/>
      <c r="F12" s="7"/>
      <c r="G12" s="7"/>
      <c r="H12" s="7"/>
      <c r="I12" s="7"/>
      <c r="J12" s="7"/>
      <c r="K12" s="7"/>
      <c r="L12" s="7"/>
      <c r="M12" s="7"/>
    </row>
    <row r="13" spans="1:13" x14ac:dyDescent="0.3">
      <c r="A13" s="7"/>
      <c r="B13" s="7"/>
      <c r="C13" s="7"/>
      <c r="D13" s="7"/>
      <c r="E13" s="7"/>
      <c r="F13" s="7"/>
      <c r="G13" s="7"/>
      <c r="H13" s="7"/>
      <c r="I13" s="7"/>
      <c r="J13" s="7"/>
      <c r="K13" s="7"/>
      <c r="L13" s="7"/>
      <c r="M13" s="7"/>
    </row>
    <row r="14" spans="1:13" x14ac:dyDescent="0.3">
      <c r="A14" s="7"/>
      <c r="B14" s="7"/>
      <c r="C14" s="7"/>
      <c r="D14" s="7"/>
      <c r="E14" s="7"/>
      <c r="F14" s="7"/>
      <c r="G14" s="7"/>
      <c r="H14" s="7"/>
      <c r="I14" s="7"/>
      <c r="J14" s="7"/>
      <c r="K14" s="7"/>
      <c r="L14" s="7"/>
      <c r="M14" s="7"/>
    </row>
    <row r="15" spans="1:13" x14ac:dyDescent="0.3">
      <c r="A15" s="7"/>
      <c r="B15" s="7"/>
      <c r="C15" s="7"/>
      <c r="D15" s="7"/>
      <c r="E15" s="7"/>
      <c r="F15" s="7"/>
      <c r="G15" s="7"/>
      <c r="H15" s="7"/>
      <c r="I15" s="7"/>
      <c r="J15" s="7"/>
      <c r="K15" s="7"/>
      <c r="L15" s="7"/>
      <c r="M15" s="7"/>
    </row>
    <row r="16" spans="1:13" x14ac:dyDescent="0.3">
      <c r="A16" s="7"/>
      <c r="B16" s="7"/>
      <c r="C16" s="7"/>
      <c r="D16" s="7"/>
      <c r="E16" s="7"/>
      <c r="F16" s="7"/>
      <c r="G16" s="7"/>
      <c r="H16" s="7"/>
      <c r="I16" s="7"/>
      <c r="J16" s="7"/>
      <c r="K16" s="7"/>
      <c r="L16" s="7"/>
      <c r="M16" s="7"/>
    </row>
    <row r="17" spans="1:13" x14ac:dyDescent="0.3">
      <c r="A17" s="7"/>
      <c r="B17" s="7"/>
      <c r="C17" s="7"/>
      <c r="D17" s="7"/>
      <c r="E17" s="7"/>
      <c r="F17" s="7"/>
      <c r="G17" s="7"/>
      <c r="H17" s="7"/>
      <c r="I17" s="7"/>
      <c r="J17" s="7"/>
      <c r="K17" s="7"/>
      <c r="L17" s="7"/>
      <c r="M17" s="7"/>
    </row>
    <row r="18" spans="1:13" x14ac:dyDescent="0.3">
      <c r="A18" s="7"/>
      <c r="B18" s="7"/>
      <c r="C18" s="7"/>
      <c r="D18" s="7"/>
      <c r="E18" s="7"/>
      <c r="F18" s="7"/>
      <c r="G18" s="7"/>
      <c r="H18" s="7"/>
      <c r="I18" s="7"/>
      <c r="J18" s="7"/>
      <c r="K18" s="7"/>
      <c r="L18" s="7"/>
      <c r="M18" s="7"/>
    </row>
    <row r="19" spans="1:13" x14ac:dyDescent="0.3">
      <c r="A19" s="7"/>
      <c r="B19" s="7"/>
      <c r="C19" s="7"/>
      <c r="D19" s="7"/>
      <c r="E19" s="7"/>
      <c r="F19" s="7"/>
      <c r="G19" s="7"/>
      <c r="H19" s="7"/>
      <c r="I19" s="7"/>
      <c r="J19" s="7"/>
      <c r="K19" s="7"/>
      <c r="L19" s="7"/>
      <c r="M19" s="7"/>
    </row>
    <row r="20" spans="1:13" x14ac:dyDescent="0.3">
      <c r="A20" s="7"/>
      <c r="B20" s="7"/>
      <c r="C20" s="7"/>
      <c r="D20" s="7"/>
      <c r="E20" s="7"/>
      <c r="F20" s="7"/>
      <c r="G20" s="7"/>
      <c r="H20" s="7"/>
      <c r="I20" s="7"/>
      <c r="J20" s="7"/>
      <c r="K20" s="7"/>
      <c r="L20" s="7"/>
      <c r="M20" s="7"/>
    </row>
    <row r="21" spans="1:13" x14ac:dyDescent="0.3">
      <c r="A21" s="7"/>
      <c r="B21" s="7"/>
      <c r="C21" s="7"/>
      <c r="D21" s="7"/>
      <c r="E21" s="7"/>
      <c r="F21" s="7"/>
      <c r="G21" s="7"/>
      <c r="H21" s="7"/>
      <c r="I21" s="7"/>
      <c r="J21" s="7"/>
      <c r="K21" s="7"/>
      <c r="L21" s="7"/>
      <c r="M21" s="7"/>
    </row>
    <row r="22" spans="1:13" x14ac:dyDescent="0.3">
      <c r="A22" s="7"/>
      <c r="B22" s="7"/>
      <c r="C22" s="7"/>
      <c r="D22" s="7"/>
      <c r="E22" s="7"/>
      <c r="F22" s="7"/>
      <c r="G22" s="7"/>
      <c r="H22" s="7"/>
      <c r="I22" s="7"/>
      <c r="J22" s="7"/>
      <c r="K22" s="7"/>
      <c r="L22" s="7"/>
      <c r="M22"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0A0F-42C6-4A90-8060-5EC349B455FB}">
  <dimension ref="A1:L22"/>
  <sheetViews>
    <sheetView topLeftCell="A18" workbookViewId="0">
      <selection activeCell="J5" sqref="J5"/>
    </sheetView>
  </sheetViews>
  <sheetFormatPr defaultRowHeight="14.4" x14ac:dyDescent="0.3"/>
  <sheetData>
    <row r="1" spans="1:12" x14ac:dyDescent="0.3">
      <c r="A1" s="7"/>
      <c r="B1" s="7"/>
      <c r="C1" s="7"/>
      <c r="D1" s="7"/>
      <c r="E1" s="7"/>
      <c r="F1" s="7"/>
      <c r="G1" s="7"/>
      <c r="H1" s="7"/>
      <c r="I1" s="7"/>
      <c r="J1" s="7"/>
      <c r="K1" s="7"/>
      <c r="L1" s="7"/>
    </row>
    <row r="2" spans="1:12" x14ac:dyDescent="0.3">
      <c r="A2" s="7"/>
      <c r="B2" s="7"/>
      <c r="C2" s="7"/>
      <c r="D2" s="7"/>
      <c r="E2" s="7"/>
      <c r="F2" s="7"/>
      <c r="G2" s="7"/>
      <c r="H2" s="7"/>
      <c r="I2" s="7"/>
      <c r="J2" s="7"/>
      <c r="K2" s="7"/>
      <c r="L2" s="7"/>
    </row>
    <row r="3" spans="1:12" x14ac:dyDescent="0.3">
      <c r="A3" s="7"/>
      <c r="B3" s="7"/>
      <c r="C3" s="7"/>
      <c r="D3" s="7"/>
      <c r="E3" s="7"/>
      <c r="F3" s="7"/>
      <c r="G3" s="7"/>
      <c r="H3" s="7"/>
      <c r="I3" s="7"/>
      <c r="J3" s="7"/>
      <c r="K3" s="7"/>
      <c r="L3" s="7"/>
    </row>
    <row r="4" spans="1:12" x14ac:dyDescent="0.3">
      <c r="A4" s="7"/>
      <c r="B4" s="7"/>
      <c r="C4" s="7"/>
      <c r="D4" s="7"/>
      <c r="E4" s="7"/>
      <c r="F4" s="7"/>
      <c r="G4" s="7"/>
      <c r="H4" s="7"/>
      <c r="I4" s="7"/>
      <c r="J4" s="7"/>
      <c r="K4" s="7"/>
      <c r="L4" s="7"/>
    </row>
    <row r="5" spans="1:12" x14ac:dyDescent="0.3">
      <c r="A5" s="7"/>
      <c r="B5" s="7"/>
      <c r="C5" s="7"/>
      <c r="D5" s="7"/>
      <c r="E5" s="7"/>
      <c r="F5" s="7"/>
      <c r="G5" s="7"/>
      <c r="H5" s="7"/>
      <c r="I5" s="7"/>
      <c r="J5" s="7"/>
      <c r="K5" s="7"/>
      <c r="L5" s="7"/>
    </row>
    <row r="6" spans="1:12" x14ac:dyDescent="0.3">
      <c r="A6" s="7"/>
      <c r="B6" s="7"/>
      <c r="C6" s="7"/>
      <c r="D6" s="7"/>
      <c r="E6" s="7"/>
      <c r="F6" s="7"/>
      <c r="G6" s="7"/>
      <c r="H6" s="7"/>
      <c r="I6" s="7"/>
      <c r="J6" s="7"/>
      <c r="K6" s="7"/>
      <c r="L6" s="7"/>
    </row>
    <row r="7" spans="1:12" x14ac:dyDescent="0.3">
      <c r="A7" s="7"/>
      <c r="B7" s="7"/>
      <c r="C7" s="7"/>
      <c r="D7" s="7"/>
      <c r="E7" s="7"/>
      <c r="F7" s="7"/>
      <c r="G7" s="7"/>
      <c r="H7" s="7"/>
      <c r="I7" s="7"/>
      <c r="J7" s="7"/>
      <c r="K7" s="7"/>
      <c r="L7" s="7"/>
    </row>
    <row r="8" spans="1:12" x14ac:dyDescent="0.3">
      <c r="A8" s="7"/>
      <c r="B8" s="7"/>
      <c r="C8" s="7"/>
      <c r="D8" s="7"/>
      <c r="E8" s="7"/>
      <c r="F8" s="7"/>
      <c r="G8" s="7"/>
      <c r="H8" s="7"/>
      <c r="I8" s="7"/>
      <c r="J8" s="7"/>
      <c r="K8" s="7"/>
      <c r="L8" s="7"/>
    </row>
    <row r="9" spans="1:12" x14ac:dyDescent="0.3">
      <c r="A9" s="7"/>
      <c r="B9" s="7"/>
      <c r="C9" s="7"/>
      <c r="D9" s="7"/>
      <c r="E9" s="7"/>
      <c r="F9" s="7"/>
      <c r="G9" s="7"/>
      <c r="H9" s="7"/>
      <c r="I9" s="7"/>
      <c r="J9" s="7"/>
      <c r="K9" s="7"/>
      <c r="L9" s="7"/>
    </row>
    <row r="10" spans="1:12" x14ac:dyDescent="0.3">
      <c r="A10" s="7"/>
      <c r="B10" s="7"/>
      <c r="C10" s="7"/>
      <c r="D10" s="7"/>
      <c r="E10" s="7"/>
      <c r="F10" s="7"/>
      <c r="G10" s="7"/>
      <c r="H10" s="7"/>
      <c r="I10" s="7"/>
      <c r="J10" s="7"/>
      <c r="K10" s="7"/>
      <c r="L10" s="7"/>
    </row>
    <row r="11" spans="1:12" x14ac:dyDescent="0.3">
      <c r="A11" s="7"/>
      <c r="B11" s="7"/>
      <c r="C11" s="7"/>
      <c r="D11" s="7"/>
      <c r="E11" s="7"/>
      <c r="F11" s="7"/>
      <c r="G11" s="7"/>
      <c r="H11" s="7"/>
      <c r="I11" s="7"/>
      <c r="J11" s="7"/>
      <c r="K11" s="7"/>
      <c r="L11" s="7"/>
    </row>
    <row r="12" spans="1:12" x14ac:dyDescent="0.3">
      <c r="A12" s="7"/>
      <c r="B12" s="7"/>
      <c r="C12" s="7"/>
      <c r="D12" s="7"/>
      <c r="E12" s="7"/>
      <c r="F12" s="7"/>
      <c r="G12" s="7"/>
      <c r="H12" s="7"/>
      <c r="I12" s="7"/>
      <c r="J12" s="7"/>
      <c r="K12" s="7"/>
      <c r="L12" s="7"/>
    </row>
    <row r="13" spans="1:12" x14ac:dyDescent="0.3">
      <c r="A13" s="7"/>
      <c r="B13" s="7"/>
      <c r="C13" s="7"/>
      <c r="D13" s="7"/>
      <c r="E13" s="7"/>
      <c r="F13" s="7"/>
      <c r="G13" s="7"/>
      <c r="H13" s="7"/>
      <c r="I13" s="7"/>
      <c r="J13" s="7"/>
      <c r="K13" s="7"/>
      <c r="L13" s="7"/>
    </row>
    <row r="14" spans="1:12" x14ac:dyDescent="0.3">
      <c r="A14" s="7"/>
      <c r="B14" s="7"/>
      <c r="C14" s="7"/>
      <c r="D14" s="7"/>
      <c r="E14" s="7"/>
      <c r="F14" s="7"/>
      <c r="G14" s="7"/>
      <c r="H14" s="7"/>
      <c r="I14" s="7"/>
      <c r="J14" s="7"/>
      <c r="K14" s="7"/>
      <c r="L14" s="7"/>
    </row>
    <row r="15" spans="1:12" x14ac:dyDescent="0.3">
      <c r="A15" s="7"/>
      <c r="B15" s="7"/>
      <c r="C15" s="7"/>
      <c r="D15" s="7"/>
      <c r="E15" s="7"/>
      <c r="F15" s="7"/>
      <c r="G15" s="7"/>
      <c r="H15" s="7"/>
      <c r="I15" s="7"/>
      <c r="J15" s="7"/>
      <c r="K15" s="7"/>
      <c r="L15" s="7"/>
    </row>
    <row r="16" spans="1:12" x14ac:dyDescent="0.3">
      <c r="A16" s="7"/>
      <c r="B16" s="7"/>
      <c r="C16" s="7"/>
      <c r="D16" s="7"/>
      <c r="E16" s="7"/>
      <c r="F16" s="7"/>
      <c r="G16" s="7"/>
      <c r="H16" s="7"/>
      <c r="I16" s="7"/>
      <c r="J16" s="7"/>
      <c r="K16" s="7"/>
      <c r="L16" s="7"/>
    </row>
    <row r="17" spans="1:12" x14ac:dyDescent="0.3">
      <c r="A17" s="7"/>
      <c r="B17" s="7"/>
      <c r="C17" s="7"/>
      <c r="D17" s="7"/>
      <c r="E17" s="7"/>
      <c r="F17" s="7"/>
      <c r="G17" s="7"/>
      <c r="H17" s="7"/>
      <c r="I17" s="7"/>
      <c r="J17" s="7"/>
      <c r="K17" s="7"/>
      <c r="L17" s="7"/>
    </row>
    <row r="18" spans="1:12" x14ac:dyDescent="0.3">
      <c r="A18" s="7"/>
      <c r="B18" s="7"/>
      <c r="C18" s="7"/>
      <c r="D18" s="7"/>
      <c r="E18" s="7"/>
      <c r="F18" s="7"/>
      <c r="G18" s="7"/>
      <c r="H18" s="7"/>
      <c r="I18" s="7"/>
      <c r="J18" s="7"/>
      <c r="K18" s="7"/>
      <c r="L18" s="7"/>
    </row>
    <row r="19" spans="1:12" x14ac:dyDescent="0.3">
      <c r="A19" s="7"/>
      <c r="B19" s="7"/>
      <c r="C19" s="7"/>
      <c r="D19" s="7"/>
      <c r="E19" s="7"/>
      <c r="F19" s="7"/>
      <c r="G19" s="7"/>
      <c r="H19" s="7"/>
      <c r="I19" s="7"/>
      <c r="J19" s="7"/>
      <c r="K19" s="7"/>
      <c r="L19" s="7"/>
    </row>
    <row r="20" spans="1:12" x14ac:dyDescent="0.3">
      <c r="A20" s="7"/>
      <c r="B20" s="7"/>
      <c r="C20" s="7"/>
      <c r="D20" s="7"/>
      <c r="E20" s="7"/>
      <c r="F20" s="7"/>
      <c r="G20" s="7"/>
      <c r="H20" s="7"/>
      <c r="I20" s="7"/>
      <c r="J20" s="7"/>
      <c r="K20" s="7"/>
      <c r="L20" s="7"/>
    </row>
    <row r="21" spans="1:12" x14ac:dyDescent="0.3">
      <c r="A21" s="7"/>
      <c r="B21" s="7"/>
      <c r="C21" s="7"/>
      <c r="D21" s="7"/>
      <c r="E21" s="7"/>
      <c r="F21" s="7"/>
      <c r="G21" s="7"/>
      <c r="H21" s="7"/>
      <c r="I21" s="7"/>
      <c r="J21" s="7"/>
      <c r="K21" s="7"/>
      <c r="L21" s="7"/>
    </row>
    <row r="22" spans="1:12" x14ac:dyDescent="0.3">
      <c r="A22" s="7"/>
      <c r="B22" s="7"/>
      <c r="C22" s="7"/>
      <c r="D22" s="7"/>
      <c r="E22" s="7"/>
      <c r="F22" s="7"/>
      <c r="G22" s="7"/>
      <c r="H22" s="7"/>
      <c r="I22" s="7"/>
      <c r="J22" s="7"/>
      <c r="K22" s="7"/>
      <c r="L22"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p:properties>
</file>

<file path=customXml/item18.xml><?xml version="1.0" encoding="utf-8"?>
<ct:contentTypeSchema xmlns:ct="http://schemas.microsoft.com/office/2006/metadata/contentType" xmlns:ma="http://schemas.microsoft.com/office/2006/metadata/properties/metaAttributes" ct:_="" ma:_="" ma:contentTypeName="Document" ma:contentTypeID="0x0101000BD03180AF91424D860AC935B9410265" ma:contentTypeVersion="4" ma:contentTypeDescription="Create a new document." ma:contentTypeScope="" ma:versionID="95dca48737ec54de63ac9e32950f6169">
  <xsd:schema xmlns:xsd="http://www.w3.org/2001/XMLSchema" xmlns:xs="http://www.w3.org/2001/XMLSchema" xmlns:p="http://schemas.microsoft.com/office/2006/metadata/properties" xmlns:ns3="a0e24e50-8f89-4307-84f6-ac351fa7ede6" targetNamespace="http://schemas.microsoft.com/office/2006/metadata/properties" ma:root="true" ma:fieldsID="2bb3b74d8b6eee56ef026014443252d0" ns3:_="">
    <xsd:import namespace="a0e24e50-8f89-4307-84f6-ac351fa7ede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e24e50-8f89-4307-84f6-ac351fa7ede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7DAAABC3-1071-4DA1-BFB2-9B64FB1D6EF5}">
  <ds:schemaRefs/>
</ds:datastoreItem>
</file>

<file path=customXml/itemProps2.xml><?xml version="1.0" encoding="utf-8"?>
<ds:datastoreItem xmlns:ds="http://schemas.openxmlformats.org/officeDocument/2006/customXml" ds:itemID="{ACE6DAC0-9A71-477C-BDF4-79BF0849731D}">
  <ds:schemaRefs/>
</ds:datastoreItem>
</file>

<file path=customXml/itemProps3.xml><?xml version="1.0" encoding="utf-8"?>
<ds:datastoreItem xmlns:ds="http://schemas.openxmlformats.org/officeDocument/2006/customXml" ds:itemID="{5743AD6F-1AAA-4A27-B764-D375DE84475B}">
  <ds:schemaRefs/>
</ds:datastoreItem>
</file>

<file path=customXml/itemProps4.xml><?xml version="1.0" encoding="utf-8"?>
<ds:datastoreItem xmlns:ds="http://schemas.openxmlformats.org/officeDocument/2006/customXml" ds:itemID="{3258B907-124B-430E-AB29-DB60EEB3AF46}">
  <ds:schemaRefs>
    <ds:schemaRef ds:uri="http://schemas.microsoft.com/sharepoint/v3/contenttype/forms"/>
  </ds:schemaRefs>
</ds:datastoreItem>
</file>

<file path=customXml/itemProps5.xml><?xml version="1.0" encoding="utf-8"?>
<ds:datastoreItem xmlns:ds="http://schemas.openxmlformats.org/officeDocument/2006/customXml" ds:itemID="{EF2F3360-9CAB-4750-9E28-1EFA9CF184F1}">
  <ds:schemaRefs/>
</ds:datastoreItem>
</file>

<file path=customXml/itemProps6.xml><?xml version="1.0" encoding="utf-8"?>
<ds:datastoreItem xmlns:ds="http://schemas.openxmlformats.org/officeDocument/2006/customXml" ds:itemID="{B1187630-ED87-4618-8B2F-04A86602ACCF}">
  <ds:schemaRefs/>
</ds:datastoreItem>
</file>

<file path=customXml/itemProps7.xml><?xml version="1.0" encoding="utf-8"?>
<ds:datastoreItem xmlns:ds="http://schemas.openxmlformats.org/officeDocument/2006/customXml" ds:itemID="{BE0C08FE-F7B5-4D02-A41D-53BDD11DEA76}">
  <ds:schemaRefs/>
</ds:datastoreItem>
</file>

<file path=customXml/itemProps8.xml><?xml version="1.0" encoding="utf-8"?>
<ds:datastoreItem xmlns:ds="http://schemas.openxmlformats.org/officeDocument/2006/customXml" ds:itemID="{D1D35621-4085-4344-A38F-64036FFD5E29}">
  <ds:schemaRefs/>
</ds:datastoreItem>
</file>

<file path=customXml/itemProps9.xml><?xml version="1.0" encoding="utf-8"?>
<ds:datastoreItem xmlns:ds="http://schemas.openxmlformats.org/officeDocument/2006/customXml" ds:itemID="{CFFEF8A8-6776-4A62-9507-1FE71169AF91}">
  <ds:schemaRefs/>
</ds:datastoreItem>
</file>

<file path=customXml/itemProps10.xml><?xml version="1.0" encoding="utf-8"?>
<ds:datastoreItem xmlns:ds="http://schemas.openxmlformats.org/officeDocument/2006/customXml" ds:itemID="{D4F771ED-9CDA-4A51-B7D9-C13DBC0797FD}">
  <ds:schemaRefs/>
</ds:datastoreItem>
</file>

<file path=customXml/itemProps11.xml><?xml version="1.0" encoding="utf-8"?>
<ds:datastoreItem xmlns:ds="http://schemas.openxmlformats.org/officeDocument/2006/customXml" ds:itemID="{F1D1BC25-F7E7-4617-85E9-FF4B29B9A37C}">
  <ds:schemaRefs/>
</ds:datastoreItem>
</file>

<file path=customXml/itemProps12.xml><?xml version="1.0" encoding="utf-8"?>
<ds:datastoreItem xmlns:ds="http://schemas.openxmlformats.org/officeDocument/2006/customXml" ds:itemID="{75B834EF-EADC-4E5A-8EC1-FE72C61F325E}">
  <ds:schemaRefs/>
</ds:datastoreItem>
</file>

<file path=customXml/itemProps13.xml><?xml version="1.0" encoding="utf-8"?>
<ds:datastoreItem xmlns:ds="http://schemas.openxmlformats.org/officeDocument/2006/customXml" ds:itemID="{BA3DDF13-3D1A-44EC-9BE2-CFC687370788}">
  <ds:schemaRefs/>
</ds:datastoreItem>
</file>

<file path=customXml/itemProps14.xml><?xml version="1.0" encoding="utf-8"?>
<ds:datastoreItem xmlns:ds="http://schemas.openxmlformats.org/officeDocument/2006/customXml" ds:itemID="{5A87DA1F-ECD0-428A-8058-FAFCACDDFC9A}">
  <ds:schemaRefs/>
</ds:datastoreItem>
</file>

<file path=customXml/itemProps15.xml><?xml version="1.0" encoding="utf-8"?>
<ds:datastoreItem xmlns:ds="http://schemas.openxmlformats.org/officeDocument/2006/customXml" ds:itemID="{9732A337-EFF8-4446-86FF-416470125E4F}">
  <ds:schemaRefs>
    <ds:schemaRef ds:uri="http://schemas.microsoft.com/DataMashup"/>
  </ds:schemaRefs>
</ds:datastoreItem>
</file>

<file path=customXml/itemProps16.xml><?xml version="1.0" encoding="utf-8"?>
<ds:datastoreItem xmlns:ds="http://schemas.openxmlformats.org/officeDocument/2006/customXml" ds:itemID="{16EBE1B3-4369-4461-A615-1D7874F4F4EB}">
  <ds:schemaRefs/>
</ds:datastoreItem>
</file>

<file path=customXml/itemProps17.xml><?xml version="1.0" encoding="utf-8"?>
<ds:datastoreItem xmlns:ds="http://schemas.openxmlformats.org/officeDocument/2006/customXml" ds:itemID="{BA3DFD47-662F-4BB1-970E-49CFA551710C}">
  <ds:schemaRefs>
    <ds:schemaRef ds:uri="http://purl.org/dc/terms/"/>
    <ds:schemaRef ds:uri="http://schemas.openxmlformats.org/package/2006/metadata/core-properties"/>
    <ds:schemaRef ds:uri="http://www.w3.org/XML/1998/namespace"/>
    <ds:schemaRef ds:uri="http://purl.org/dc/elements/1.1/"/>
    <ds:schemaRef ds:uri="http://purl.org/dc/dcmitype/"/>
    <ds:schemaRef ds:uri="http://schemas.microsoft.com/office/2006/documentManagement/types"/>
    <ds:schemaRef ds:uri="http://schemas.microsoft.com/office/infopath/2007/PartnerControls"/>
    <ds:schemaRef ds:uri="a0e24e50-8f89-4307-84f6-ac351fa7ede6"/>
    <ds:schemaRef ds:uri="http://schemas.microsoft.com/office/2006/metadata/properties"/>
  </ds:schemaRefs>
</ds:datastoreItem>
</file>

<file path=customXml/itemProps18.xml><?xml version="1.0" encoding="utf-8"?>
<ds:datastoreItem xmlns:ds="http://schemas.openxmlformats.org/officeDocument/2006/customXml" ds:itemID="{391859C1-5DB6-4635-98A6-0820C1AA57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e24e50-8f89-4307-84f6-ac351fa7ed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9.xml><?xml version="1.0" encoding="utf-8"?>
<ds:datastoreItem xmlns:ds="http://schemas.openxmlformats.org/officeDocument/2006/customXml" ds:itemID="{E3865C0B-C584-4122-A9EA-DB65474DAE1A}">
  <ds:schemaRefs/>
</ds:datastoreItem>
</file>

<file path=customXml/itemProps20.xml><?xml version="1.0" encoding="utf-8"?>
<ds:datastoreItem xmlns:ds="http://schemas.openxmlformats.org/officeDocument/2006/customXml" ds:itemID="{91A16B36-6C48-4C2A-8937-B7C4D7C1AD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Daily_ER No of Patient</vt:lpstr>
      <vt:lpstr>Average wait time daily trend</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dc:creator>
  <cp:lastModifiedBy>Ishita .</cp:lastModifiedBy>
  <dcterms:created xsi:type="dcterms:W3CDTF">2026-05-21T07:21:36Z</dcterms:created>
  <dcterms:modified xsi:type="dcterms:W3CDTF">2026-05-22T13:27:19Z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0x0101000BD03180AF91424D860AC935B9410265</vt:lpwstr>
  </property>
</Properties>
</file>